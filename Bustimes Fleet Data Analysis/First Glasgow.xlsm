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e\Desktop\GitHub\Napier-4\00 Others\Bus Sheets (Dynamic)\"/>
    </mc:Choice>
  </mc:AlternateContent>
  <xr:revisionPtr revIDLastSave="0" documentId="13_ncr:1_{61916D72-0E43-4E0E-AD52-19ECC854DE28}" xr6:coauthVersionLast="47" xr6:coauthVersionMax="47" xr10:uidLastSave="{00000000-0000-0000-0000-000000000000}"/>
  <bookViews>
    <workbookView xWindow="-120" yWindow="-120" windowWidth="29040" windowHeight="15840" firstSheet="2" activeTab="2" xr2:uid="{B3646472-6EFF-4A09-B88A-384C16E77373}"/>
  </bookViews>
  <sheets>
    <sheet name="Table 0 Refresh Time" sheetId="3" state="hidden" r:id="rId1"/>
    <sheet name="SOURCE" sheetId="2" state="hidden" r:id="rId2"/>
    <sheet name="Sheet1" sheetId="1" r:id="rId3"/>
  </sheets>
  <definedNames>
    <definedName name="ExternalData_1" localSheetId="1" hidden="1">SOURCE!$A$1:$K$632</definedName>
    <definedName name="ExternalData_2" localSheetId="0" hidden="1">'Table 0 Refresh Time'!$A$1:$A$2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" l="1"/>
  <c r="B5" i="1"/>
  <c r="L5" i="1"/>
  <c r="I5" i="1"/>
  <c r="F5" i="1"/>
  <c r="J6" i="1" a="1"/>
  <c r="J6" i="1" s="1"/>
  <c r="K6" i="1" s="1"/>
  <c r="N4" i="1" a="1"/>
  <c r="N4" i="1" s="1"/>
  <c r="A7" i="1" a="1"/>
  <c r="A7" i="1" s="1"/>
  <c r="A8" i="1" s="1"/>
  <c r="G6" i="1" a="1"/>
  <c r="G6" i="1" s="1"/>
  <c r="H6" i="1" s="1"/>
  <c r="D6" i="1" a="1"/>
  <c r="D6" i="1" s="1"/>
  <c r="E6" i="1" s="1"/>
  <c r="B4" i="1"/>
  <c r="B3" i="1"/>
  <c r="B2" i="1"/>
  <c r="O4" i="1" l="1" a="1"/>
  <c r="O4" i="1" s="1"/>
  <c r="O5" i="1" a="1"/>
  <c r="O5" i="1" s="1"/>
  <c r="O11" i="1" a="1"/>
  <c r="O11" i="1" s="1"/>
  <c r="O17" i="1" a="1"/>
  <c r="O17" i="1" s="1"/>
  <c r="O23" i="1" a="1"/>
  <c r="O23" i="1" s="1"/>
  <c r="O41" i="1" a="1"/>
  <c r="O41" i="1" s="1"/>
  <c r="O53" i="1" a="1"/>
  <c r="O53" i="1" s="1"/>
  <c r="O65" i="1" a="1"/>
  <c r="O65" i="1" s="1"/>
  <c r="O89" i="1" a="1"/>
  <c r="O89" i="1" s="1"/>
  <c r="O75" i="1" a="1"/>
  <c r="O75" i="1" s="1"/>
  <c r="O54" i="1" a="1"/>
  <c r="O54" i="1" s="1"/>
  <c r="O66" i="1" a="1"/>
  <c r="O66" i="1" s="1"/>
  <c r="O78" i="1" a="1"/>
  <c r="O78" i="1" s="1"/>
  <c r="O90" i="1" a="1"/>
  <c r="O90" i="1" s="1"/>
  <c r="O24" i="1" a="1"/>
  <c r="O24" i="1" s="1"/>
  <c r="O42" i="1" a="1"/>
  <c r="O42" i="1" s="1"/>
  <c r="O55" i="1" a="1"/>
  <c r="O55" i="1" s="1"/>
  <c r="O79" i="1" a="1"/>
  <c r="O79" i="1" s="1"/>
  <c r="O50" i="1" a="1"/>
  <c r="O50" i="1" s="1"/>
  <c r="O85" i="1" a="1"/>
  <c r="O85" i="1" s="1"/>
  <c r="O6" i="1" a="1"/>
  <c r="O6" i="1" s="1"/>
  <c r="O12" i="1" a="1"/>
  <c r="O12" i="1" s="1"/>
  <c r="O18" i="1" a="1"/>
  <c r="O18" i="1" s="1"/>
  <c r="O30" i="1" a="1"/>
  <c r="O30" i="1" s="1"/>
  <c r="O36" i="1" a="1"/>
  <c r="O36" i="1" s="1"/>
  <c r="O48" i="1" a="1"/>
  <c r="O48" i="1" s="1"/>
  <c r="O67" i="1" a="1"/>
  <c r="O67" i="1" s="1"/>
  <c r="O91" i="1" a="1"/>
  <c r="O91" i="1" s="1"/>
  <c r="O71" i="1" a="1"/>
  <c r="O71" i="1" s="1"/>
  <c r="O56" i="1" a="1"/>
  <c r="O56" i="1" s="1"/>
  <c r="O68" i="1" a="1"/>
  <c r="O68" i="1" s="1"/>
  <c r="O80" i="1" a="1"/>
  <c r="O80" i="1" s="1"/>
  <c r="O92" i="1" a="1"/>
  <c r="O92" i="1" s="1"/>
  <c r="O31" i="1" a="1"/>
  <c r="O31" i="1" s="1"/>
  <c r="O43" i="1" a="1"/>
  <c r="O43" i="1" s="1"/>
  <c r="O57" i="1" a="1"/>
  <c r="O57" i="1" s="1"/>
  <c r="O73" i="1" a="1"/>
  <c r="O73" i="1" s="1"/>
  <c r="O7" i="1" a="1"/>
  <c r="O7" i="1" s="1"/>
  <c r="O13" i="1" a="1"/>
  <c r="O13" i="1" s="1"/>
  <c r="O19" i="1" a="1"/>
  <c r="O19" i="1" s="1"/>
  <c r="O25" i="1" a="1"/>
  <c r="O25" i="1" s="1"/>
  <c r="O37" i="1" a="1"/>
  <c r="O37" i="1" s="1"/>
  <c r="O49" i="1" a="1"/>
  <c r="O49" i="1" s="1"/>
  <c r="O69" i="1" a="1"/>
  <c r="O69" i="1" s="1"/>
  <c r="O81" i="1" a="1"/>
  <c r="O81" i="1" s="1"/>
  <c r="O58" i="1" a="1"/>
  <c r="O58" i="1" s="1"/>
  <c r="O70" i="1" a="1"/>
  <c r="O70" i="1" s="1"/>
  <c r="O82" i="1" a="1"/>
  <c r="O82" i="1" s="1"/>
  <c r="O87" i="1" a="1"/>
  <c r="O87" i="1" s="1"/>
  <c r="O83" i="1" a="1"/>
  <c r="O83" i="1" s="1"/>
  <c r="O77" i="1" a="1"/>
  <c r="O77" i="1" s="1"/>
  <c r="O47" i="1" a="1"/>
  <c r="O47" i="1" s="1"/>
  <c r="O35" i="1" a="1"/>
  <c r="O35" i="1" s="1"/>
  <c r="O29" i="1" a="1"/>
  <c r="O29" i="1" s="1"/>
  <c r="O88" i="1" a="1"/>
  <c r="O88" i="1" s="1"/>
  <c r="O76" i="1" a="1"/>
  <c r="O76" i="1" s="1"/>
  <c r="O64" i="1" a="1"/>
  <c r="O64" i="1" s="1"/>
  <c r="O63" i="1" a="1"/>
  <c r="O63" i="1" s="1"/>
  <c r="O52" i="1" a="1"/>
  <c r="O52" i="1" s="1"/>
  <c r="O46" i="1" a="1"/>
  <c r="O46" i="1" s="1"/>
  <c r="O40" i="1" a="1"/>
  <c r="O40" i="1" s="1"/>
  <c r="O34" i="1" a="1"/>
  <c r="O34" i="1" s="1"/>
  <c r="O28" i="1" a="1"/>
  <c r="O28" i="1" s="1"/>
  <c r="O22" i="1" a="1"/>
  <c r="O22" i="1" s="1"/>
  <c r="O16" i="1" a="1"/>
  <c r="O16" i="1" s="1"/>
  <c r="O10" i="1" a="1"/>
  <c r="O10" i="1" s="1"/>
  <c r="O86" i="1" a="1"/>
  <c r="O86" i="1" s="1"/>
  <c r="O74" i="1" a="1"/>
  <c r="O74" i="1" s="1"/>
  <c r="O62" i="1" a="1"/>
  <c r="O62" i="1" s="1"/>
  <c r="O61" i="1" a="1"/>
  <c r="O61" i="1" s="1"/>
  <c r="O51" i="1" a="1"/>
  <c r="O51" i="1" s="1"/>
  <c r="O45" i="1" a="1"/>
  <c r="O45" i="1" s="1"/>
  <c r="O39" i="1" a="1"/>
  <c r="O39" i="1" s="1"/>
  <c r="O33" i="1" a="1"/>
  <c r="O33" i="1" s="1"/>
  <c r="O27" i="1" a="1"/>
  <c r="O27" i="1" s="1"/>
  <c r="O21" i="1" a="1"/>
  <c r="O21" i="1" s="1"/>
  <c r="O15" i="1" a="1"/>
  <c r="O15" i="1" s="1"/>
  <c r="O9" i="1" a="1"/>
  <c r="O9" i="1" s="1"/>
  <c r="O84" i="1" a="1"/>
  <c r="O84" i="1" s="1"/>
  <c r="O72" i="1" a="1"/>
  <c r="O72" i="1" s="1"/>
  <c r="O60" i="1" a="1"/>
  <c r="O60" i="1" s="1"/>
  <c r="O59" i="1" a="1"/>
  <c r="O59" i="1" s="1"/>
  <c r="O44" i="1" a="1"/>
  <c r="O44" i="1" s="1"/>
  <c r="O38" i="1" a="1"/>
  <c r="O38" i="1" s="1"/>
  <c r="O32" i="1" a="1"/>
  <c r="O32" i="1" s="1"/>
  <c r="O26" i="1" a="1"/>
  <c r="O26" i="1" s="1"/>
  <c r="O20" i="1" a="1"/>
  <c r="O20" i="1" s="1"/>
  <c r="O14" i="1" a="1"/>
  <c r="O14" i="1" s="1"/>
  <c r="O8" i="1" a="1"/>
  <c r="O8" i="1" s="1"/>
  <c r="K94" i="1"/>
  <c r="K46" i="1"/>
  <c r="H31" i="1"/>
  <c r="K93" i="1"/>
  <c r="K69" i="1"/>
  <c r="K57" i="1"/>
  <c r="K45" i="1"/>
  <c r="K33" i="1"/>
  <c r="H19" i="1"/>
  <c r="H7" i="1"/>
  <c r="H30" i="1"/>
  <c r="K92" i="1"/>
  <c r="K80" i="1"/>
  <c r="K56" i="1"/>
  <c r="K44" i="1"/>
  <c r="K32" i="1"/>
  <c r="K20" i="1"/>
  <c r="K8" i="1"/>
  <c r="H18" i="1"/>
  <c r="H41" i="1"/>
  <c r="H29" i="1"/>
  <c r="K91" i="1"/>
  <c r="K79" i="1"/>
  <c r="K67" i="1"/>
  <c r="K55" i="1"/>
  <c r="K43" i="1"/>
  <c r="K31" i="1"/>
  <c r="K19" i="1"/>
  <c r="K7" i="1"/>
  <c r="H17" i="1"/>
  <c r="H40" i="1"/>
  <c r="H28" i="1"/>
  <c r="K90" i="1"/>
  <c r="K78" i="1"/>
  <c r="K66" i="1"/>
  <c r="K54" i="1"/>
  <c r="K42" i="1"/>
  <c r="K30" i="1"/>
  <c r="K18" i="1"/>
  <c r="H39" i="1"/>
  <c r="K65" i="1"/>
  <c r="H38" i="1"/>
  <c r="K40" i="1"/>
  <c r="H25" i="1"/>
  <c r="K87" i="1"/>
  <c r="K75" i="1"/>
  <c r="K63" i="1"/>
  <c r="K51" i="1"/>
  <c r="K39" i="1"/>
  <c r="K27" i="1"/>
  <c r="K15" i="1"/>
  <c r="K77" i="1"/>
  <c r="K53" i="1"/>
  <c r="K17" i="1"/>
  <c r="K88" i="1"/>
  <c r="K16" i="1"/>
  <c r="H36" i="1"/>
  <c r="K86" i="1"/>
  <c r="K74" i="1"/>
  <c r="K62" i="1"/>
  <c r="K50" i="1"/>
  <c r="K38" i="1"/>
  <c r="K26" i="1"/>
  <c r="K14" i="1"/>
  <c r="H12" i="1"/>
  <c r="H35" i="1"/>
  <c r="H23" i="1"/>
  <c r="K85" i="1"/>
  <c r="K73" i="1"/>
  <c r="K61" i="1"/>
  <c r="K49" i="1"/>
  <c r="K37" i="1"/>
  <c r="K25" i="1"/>
  <c r="K13" i="1"/>
  <c r="K84" i="1"/>
  <c r="K72" i="1"/>
  <c r="K60" i="1"/>
  <c r="K48" i="1"/>
  <c r="K36" i="1"/>
  <c r="K24" i="1"/>
  <c r="K12" i="1"/>
  <c r="H11" i="1"/>
  <c r="H34" i="1"/>
  <c r="H22" i="1"/>
  <c r="H10" i="1"/>
  <c r="H33" i="1"/>
  <c r="K83" i="1"/>
  <c r="K71" i="1"/>
  <c r="K59" i="1"/>
  <c r="K47" i="1"/>
  <c r="K35" i="1"/>
  <c r="K23" i="1"/>
  <c r="K11" i="1"/>
  <c r="K89" i="1"/>
  <c r="K29" i="1"/>
  <c r="H26" i="1"/>
  <c r="K64" i="1"/>
  <c r="H14" i="1"/>
  <c r="H21" i="1"/>
  <c r="K82" i="1"/>
  <c r="K34" i="1"/>
  <c r="K22" i="1"/>
  <c r="K10" i="1"/>
  <c r="H16" i="1"/>
  <c r="H27" i="1"/>
  <c r="K41" i="1"/>
  <c r="H15" i="1"/>
  <c r="K28" i="1"/>
  <c r="H13" i="1"/>
  <c r="H24" i="1"/>
  <c r="H8" i="1"/>
  <c r="K9" i="1"/>
  <c r="H9" i="1"/>
  <c r="K70" i="1"/>
  <c r="H20" i="1"/>
  <c r="K68" i="1"/>
  <c r="K76" i="1"/>
  <c r="K52" i="1"/>
  <c r="H37" i="1"/>
  <c r="H32" i="1"/>
  <c r="K58" i="1"/>
  <c r="K81" i="1"/>
  <c r="K21" i="1"/>
  <c r="E11" i="1"/>
  <c r="E16" i="1"/>
  <c r="E14" i="1"/>
  <c r="E9" i="1"/>
  <c r="E20" i="1"/>
  <c r="E8" i="1"/>
  <c r="E19" i="1"/>
  <c r="E7" i="1"/>
  <c r="E13" i="1"/>
  <c r="E10" i="1"/>
  <c r="E21" i="1"/>
  <c r="E18" i="1"/>
  <c r="E22" i="1"/>
  <c r="E17" i="1"/>
  <c r="E15" i="1"/>
  <c r="E12" i="1"/>
  <c r="I3" i="1" l="1"/>
  <c r="L4" i="1"/>
  <c r="F3" i="1"/>
  <c r="I4" i="1"/>
  <c r="F4" i="1"/>
  <c r="L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8874CB-1BF5-46B5-86B0-9F7633DC3616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7A7E61B6-7B3B-463C-B4EE-F301AE188955}" keepAlive="1" name="Query - Table 0 Refresh Time" description="Connection to the 'Table 0 Refresh Time' query in the workbook." type="5" refreshedVersion="8" background="1" saveData="1">
    <dbPr connection="Provider=Microsoft.Mashup.OleDb.1;Data Source=$Workbook$;Location=&quot;Table 0 Refresh Time&quot;;Extended Properties=&quot;&quot;" command="SELECT * FROM [Table 0 Refresh Tim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<sst xmlns="http://schemas.openxmlformats.org/spreadsheetml/2006/main" count="6014" uniqueCount="1946">
  <si>
    <t>Column1</t>
  </si>
  <si>
    <t>2</t>
  </si>
  <si>
    <t>Last tracked</t>
  </si>
  <si>
    <t>Last tracked2</t>
  </si>
  <si>
    <t>Type</t>
  </si>
  <si>
    <t>Livery</t>
  </si>
  <si>
    <t>Branding</t>
  </si>
  <si>
    <t>Previous reg</t>
  </si>
  <si>
    <t>Special features</t>
  </si>
  <si>
    <t>19</t>
  </si>
  <si>
    <t>USB power</t>
  </si>
  <si>
    <t>88</t>
  </si>
  <si>
    <t>46</t>
  </si>
  <si>
    <t>41</t>
  </si>
  <si>
    <t>43</t>
  </si>
  <si>
    <t>Vehicles count:</t>
  </si>
  <si>
    <t>Conflicting fleet nos:</t>
  </si>
  <si>
    <t>Conflicting fleet regs:</t>
  </si>
  <si>
    <t>Edit</t>
  </si>
  <si>
    <t>Flickr</t>
  </si>
  <si>
    <t>Column11</t>
  </si>
  <si>
    <t>Count:</t>
  </si>
  <si>
    <t>List Unique Routes:</t>
  </si>
  <si>
    <t>List Routes by Top Vehicles:</t>
  </si>
  <si>
    <t>Table 0 Refresh Time</t>
  </si>
  <si>
    <t>Last Refreshed:</t>
  </si>
  <si>
    <t>Column10</t>
  </si>
  <si>
    <t>Volvo B7TL Wright Eclipse Gemini</t>
  </si>
  <si>
    <t>57A</t>
  </si>
  <si>
    <t>57</t>
  </si>
  <si>
    <t>60A</t>
  </si>
  <si>
    <t>61</t>
  </si>
  <si>
    <t>ADL Enviro400 MMC</t>
  </si>
  <si>
    <t>88C</t>
  </si>
  <si>
    <t>Volvo B9TL Wright Eclipse Gemini</t>
  </si>
  <si>
    <t>ADL Enviro200</t>
  </si>
  <si>
    <t>Wright StreetLite DF</t>
  </si>
  <si>
    <t>Olympia</t>
  </si>
  <si>
    <t>Optare Solo SR</t>
  </si>
  <si>
    <t>Volvo B7RLE Wright Eclipse Urban</t>
  </si>
  <si>
    <t>Urban</t>
  </si>
  <si>
    <t>ADL/TransBus Enviro300</t>
  </si>
  <si>
    <t>Pink front Olympia</t>
  </si>
  <si>
    <t>266</t>
  </si>
  <si>
    <t>% of fleet with route history:</t>
  </si>
  <si>
    <t>1 Sep 19:10</t>
  </si>
  <si>
    <t>32552</t>
  </si>
  <si>
    <t>SF54 OSP</t>
  </si>
  <si>
    <t>32557</t>
  </si>
  <si>
    <t>SF54 OSX</t>
  </si>
  <si>
    <t>5</t>
  </si>
  <si>
    <t>Edit*</t>
  </si>
  <si>
    <t>32560</t>
  </si>
  <si>
    <t>SF54 OTA</t>
  </si>
  <si>
    <t>4A</t>
  </si>
  <si>
    <t>32571</t>
  </si>
  <si>
    <t>SF54 OTN</t>
  </si>
  <si>
    <t>32573</t>
  </si>
  <si>
    <t>SF54 OTR</t>
  </si>
  <si>
    <t>32576</t>
  </si>
  <si>
    <t>SF54 OTV</t>
  </si>
  <si>
    <t>32577</t>
  </si>
  <si>
    <t>SF54 OTW</t>
  </si>
  <si>
    <t>4</t>
  </si>
  <si>
    <t>32580</t>
  </si>
  <si>
    <t>SF54 OTZ</t>
  </si>
  <si>
    <t>32593</t>
  </si>
  <si>
    <t>SF54 THV</t>
  </si>
  <si>
    <t>32594</t>
  </si>
  <si>
    <t>SF54 THX</t>
  </si>
  <si>
    <t>60</t>
  </si>
  <si>
    <t>33101</t>
  </si>
  <si>
    <t>SK19 EOM</t>
  </si>
  <si>
    <t>500</t>
  </si>
  <si>
    <t>ADL Enviro400 City</t>
  </si>
  <si>
    <t>Glasgow Airport Express</t>
  </si>
  <si>
    <t>33102</t>
  </si>
  <si>
    <t>SK19 EOO</t>
  </si>
  <si>
    <t>33103</t>
  </si>
  <si>
    <t>SK19 EOP</t>
  </si>
  <si>
    <t>33104</t>
  </si>
  <si>
    <t>SK19 EOR</t>
  </si>
  <si>
    <t>33105</t>
  </si>
  <si>
    <t>SK19 EOS</t>
  </si>
  <si>
    <t>33106</t>
  </si>
  <si>
    <t>SK19 EOT</t>
  </si>
  <si>
    <t>26 Aug 10:35</t>
  </si>
  <si>
    <t>33107</t>
  </si>
  <si>
    <t>SK19 EOU</t>
  </si>
  <si>
    <t>33108</t>
  </si>
  <si>
    <t>SK19 EOV</t>
  </si>
  <si>
    <t>33109</t>
  </si>
  <si>
    <t>SK19 EOW</t>
  </si>
  <si>
    <t>33110</t>
  </si>
  <si>
    <t>SK19 EOX</t>
  </si>
  <si>
    <t>33201</t>
  </si>
  <si>
    <t>SK68 LWN</t>
  </si>
  <si>
    <t>75</t>
  </si>
  <si>
    <t>Glasgow 75</t>
  </si>
  <si>
    <t>33208</t>
  </si>
  <si>
    <t>SK68 LWW</t>
  </si>
  <si>
    <t>X87</t>
  </si>
  <si>
    <t>33210</t>
  </si>
  <si>
    <t>SK68 LWY</t>
  </si>
  <si>
    <t>09:05</t>
  </si>
  <si>
    <t>33211</t>
  </si>
  <si>
    <t>SK68 LWZ</t>
  </si>
  <si>
    <t>33212</t>
  </si>
  <si>
    <t>SK68 LXA</t>
  </si>
  <si>
    <t>87</t>
  </si>
  <si>
    <t>33213</t>
  </si>
  <si>
    <t>SK68 LXB</t>
  </si>
  <si>
    <t>33214</t>
  </si>
  <si>
    <t>SK68 LXC</t>
  </si>
  <si>
    <t>33215</t>
  </si>
  <si>
    <t>SK68 LXD</t>
  </si>
  <si>
    <t>33216</t>
  </si>
  <si>
    <t>SK68 LXE</t>
  </si>
  <si>
    <t>33217</t>
  </si>
  <si>
    <t>SK68 LXF</t>
  </si>
  <si>
    <t>33218</t>
  </si>
  <si>
    <t>SK68 LXG</t>
  </si>
  <si>
    <t>33219</t>
  </si>
  <si>
    <t>SK68 LXH</t>
  </si>
  <si>
    <t>33220</t>
  </si>
  <si>
    <t>SK68 LXJ</t>
  </si>
  <si>
    <t>33221</t>
  </si>
  <si>
    <t>SK68 LXL</t>
  </si>
  <si>
    <t>07:30</t>
  </si>
  <si>
    <t>33222</t>
  </si>
  <si>
    <t>SK68 LXM</t>
  </si>
  <si>
    <t>33223</t>
  </si>
  <si>
    <t>SK68 LXN</t>
  </si>
  <si>
    <t>18</t>
  </si>
  <si>
    <t>Glasgow 18</t>
  </si>
  <si>
    <t>33224</t>
  </si>
  <si>
    <t>SK68 LXO</t>
  </si>
  <si>
    <t>33225</t>
  </si>
  <si>
    <t>SK68 LXP</t>
  </si>
  <si>
    <t>33251</t>
  </si>
  <si>
    <t>YX68 UPC</t>
  </si>
  <si>
    <t>X11</t>
  </si>
  <si>
    <t>33252</t>
  </si>
  <si>
    <t>YX68 UPD</t>
  </si>
  <si>
    <t>33253</t>
  </si>
  <si>
    <t>YX68 UPE</t>
  </si>
  <si>
    <t>201</t>
  </si>
  <si>
    <t>33254</t>
  </si>
  <si>
    <t>YX68 UPF</t>
  </si>
  <si>
    <t>267</t>
  </si>
  <si>
    <t>33255</t>
  </si>
  <si>
    <t>YX68 UPG</t>
  </si>
  <si>
    <t>33256</t>
  </si>
  <si>
    <t>YX68 UPH</t>
  </si>
  <si>
    <t>33257</t>
  </si>
  <si>
    <t>YX68 UPJ</t>
  </si>
  <si>
    <t>263</t>
  </si>
  <si>
    <t>1 Sep 20:03</t>
  </si>
  <si>
    <t>33258</t>
  </si>
  <si>
    <t>YX68 UPK</t>
  </si>
  <si>
    <t>33259</t>
  </si>
  <si>
    <t>YX68 UPL</t>
  </si>
  <si>
    <t>33260</t>
  </si>
  <si>
    <t>YX68 UPM</t>
  </si>
  <si>
    <t>33261</t>
  </si>
  <si>
    <t>YX68 UPN</t>
  </si>
  <si>
    <t>33262</t>
  </si>
  <si>
    <t>YX68 UPO</t>
  </si>
  <si>
    <t>33263</t>
  </si>
  <si>
    <t>YX68 UPP</t>
  </si>
  <si>
    <t>33264</t>
  </si>
  <si>
    <t>YX68 UPR</t>
  </si>
  <si>
    <t>33265</t>
  </si>
  <si>
    <t>YX68 UPS</t>
  </si>
  <si>
    <t>21</t>
  </si>
  <si>
    <t>33266</t>
  </si>
  <si>
    <t>YX68 UPT</t>
  </si>
  <si>
    <t>33267</t>
  </si>
  <si>
    <t>YX68 UPV</t>
  </si>
  <si>
    <t>33268</t>
  </si>
  <si>
    <t>YX68 UPW</t>
  </si>
  <si>
    <t>33391</t>
  </si>
  <si>
    <t>SK19 EOB</t>
  </si>
  <si>
    <t>77</t>
  </si>
  <si>
    <t>Glasgow 77</t>
  </si>
  <si>
    <t>33392</t>
  </si>
  <si>
    <t>SK19 EOC</t>
  </si>
  <si>
    <t>33393</t>
  </si>
  <si>
    <t>SK19 EOD</t>
  </si>
  <si>
    <t>33394</t>
  </si>
  <si>
    <t>SK19 EOF</t>
  </si>
  <si>
    <t>33395</t>
  </si>
  <si>
    <t>SK19 EOG</t>
  </si>
  <si>
    <t>33396</t>
  </si>
  <si>
    <t>SK19 EOH</t>
  </si>
  <si>
    <t>33397</t>
  </si>
  <si>
    <t>SK19 EOJ</t>
  </si>
  <si>
    <t>33398</t>
  </si>
  <si>
    <t>SK19 EOL</t>
  </si>
  <si>
    <t>33406</t>
  </si>
  <si>
    <t>SK19 ENW</t>
  </si>
  <si>
    <t>33407</t>
  </si>
  <si>
    <t>SK19 ENX</t>
  </si>
  <si>
    <t>6A</t>
  </si>
  <si>
    <t>33408</t>
  </si>
  <si>
    <t>SK19 ENY</t>
  </si>
  <si>
    <t>33409</t>
  </si>
  <si>
    <t>SK19 EOA</t>
  </si>
  <si>
    <t>33431</t>
  </si>
  <si>
    <t>SN66 WGA</t>
  </si>
  <si>
    <t>Glasgow 41</t>
  </si>
  <si>
    <t>33432</t>
  </si>
  <si>
    <t>SN66 WGC</t>
  </si>
  <si>
    <t>33433</t>
  </si>
  <si>
    <t>SN66 WGD</t>
  </si>
  <si>
    <t>33434</t>
  </si>
  <si>
    <t>SN66 WGE</t>
  </si>
  <si>
    <t>33435</t>
  </si>
  <si>
    <t>SN66 WGF</t>
  </si>
  <si>
    <t>X85</t>
  </si>
  <si>
    <t>33439</t>
  </si>
  <si>
    <t>SN66 WGM</t>
  </si>
  <si>
    <t>X3</t>
  </si>
  <si>
    <t>33440</t>
  </si>
  <si>
    <t>SN66 WGO</t>
  </si>
  <si>
    <t>33441</t>
  </si>
  <si>
    <t>SN66 WGP</t>
  </si>
  <si>
    <t>33442</t>
  </si>
  <si>
    <t>SN66 WGU</t>
  </si>
  <si>
    <t>33901</t>
  </si>
  <si>
    <t>SN11 FOJ</t>
  </si>
  <si>
    <t>6</t>
  </si>
  <si>
    <t>ADL Enviro400</t>
  </si>
  <si>
    <t>33902</t>
  </si>
  <si>
    <t>SN11 FOK</t>
  </si>
  <si>
    <t>33903</t>
  </si>
  <si>
    <t>SN11 FOM</t>
  </si>
  <si>
    <t>33904</t>
  </si>
  <si>
    <t>SN11 FOP</t>
  </si>
  <si>
    <t>33905</t>
  </si>
  <si>
    <t>SN11 FOT</t>
  </si>
  <si>
    <t>33906</t>
  </si>
  <si>
    <t>SN11 FOU</t>
  </si>
  <si>
    <t>33907</t>
  </si>
  <si>
    <t>SN11 FOV</t>
  </si>
  <si>
    <t>33908</t>
  </si>
  <si>
    <t>SN11 FPA</t>
  </si>
  <si>
    <t>1D</t>
  </si>
  <si>
    <t>33909</t>
  </si>
  <si>
    <t>SN11 FPC</t>
  </si>
  <si>
    <t>33910</t>
  </si>
  <si>
    <t>SN11 FPD</t>
  </si>
  <si>
    <t>33911</t>
  </si>
  <si>
    <t>SN61 BDU</t>
  </si>
  <si>
    <t>33912</t>
  </si>
  <si>
    <t>SN61 BDV</t>
  </si>
  <si>
    <t>33913</t>
  </si>
  <si>
    <t>SN61 BDX</t>
  </si>
  <si>
    <t>33914</t>
  </si>
  <si>
    <t>SN61 BDY</t>
  </si>
  <si>
    <t>33915</t>
  </si>
  <si>
    <t>SN61 BDZ</t>
  </si>
  <si>
    <t>33916</t>
  </si>
  <si>
    <t>SN61 BEJ</t>
  </si>
  <si>
    <t>29 Aug 16:25</t>
  </si>
  <si>
    <t>33917</t>
  </si>
  <si>
    <t>SN61 BEO</t>
  </si>
  <si>
    <t>33918</t>
  </si>
  <si>
    <t>SN61 BEU</t>
  </si>
  <si>
    <t>33919</t>
  </si>
  <si>
    <t>SN61 BEY</t>
  </si>
  <si>
    <t>33920</t>
  </si>
  <si>
    <t>SN61 BFA</t>
  </si>
  <si>
    <t>19 Apr 05:45</t>
  </si>
  <si>
    <t>33921</t>
  </si>
  <si>
    <t>SN61 BFE</t>
  </si>
  <si>
    <t>33922</t>
  </si>
  <si>
    <t>SN61 BFF</t>
  </si>
  <si>
    <t>33923</t>
  </si>
  <si>
    <t>SN61 BFJ</t>
  </si>
  <si>
    <t>33976</t>
  </si>
  <si>
    <t>SN65 OFR</t>
  </si>
  <si>
    <t>20 Jun 13:47</t>
  </si>
  <si>
    <t>33977</t>
  </si>
  <si>
    <t>SN65 OFS</t>
  </si>
  <si>
    <t>33978</t>
  </si>
  <si>
    <t>SN65 OFT</t>
  </si>
  <si>
    <t>29 Aug 23:33</t>
  </si>
  <si>
    <t>33979</t>
  </si>
  <si>
    <t>SN65 OFU</t>
  </si>
  <si>
    <t>33981</t>
  </si>
  <si>
    <t>SN65 OFW</t>
  </si>
  <si>
    <t>5 Aug 16:31</t>
  </si>
  <si>
    <t>33990</t>
  </si>
  <si>
    <t>SN65 OGF</t>
  </si>
  <si>
    <t>29 Aug 16:16</t>
  </si>
  <si>
    <t>Glasgow X85/X87</t>
  </si>
  <si>
    <t>33991</t>
  </si>
  <si>
    <t>SN65 OGG</t>
  </si>
  <si>
    <t>33992</t>
  </si>
  <si>
    <t>SN65 OGH</t>
  </si>
  <si>
    <t>33993</t>
  </si>
  <si>
    <t>SN65 OGJ</t>
  </si>
  <si>
    <t>33994</t>
  </si>
  <si>
    <t>SN65 OGK</t>
  </si>
  <si>
    <t>Glasgow X11</t>
  </si>
  <si>
    <t>33995</t>
  </si>
  <si>
    <t>SN65 OGL</t>
  </si>
  <si>
    <t>Gold front</t>
  </si>
  <si>
    <t>33996</t>
  </si>
  <si>
    <t>SN65 OGM</t>
  </si>
  <si>
    <t>33997</t>
  </si>
  <si>
    <t>SN65 OGO</t>
  </si>
  <si>
    <t>33998</t>
  </si>
  <si>
    <t>SN65 OGP</t>
  </si>
  <si>
    <t>07:59</t>
  </si>
  <si>
    <t>33999</t>
  </si>
  <si>
    <t>SN65 OGR</t>
  </si>
  <si>
    <t>34361</t>
  </si>
  <si>
    <t>SO68 HFE</t>
  </si>
  <si>
    <t>34362</t>
  </si>
  <si>
    <t>SO68 HFF</t>
  </si>
  <si>
    <t>38C</t>
  </si>
  <si>
    <t>Young Scot Awards</t>
  </si>
  <si>
    <t>34363</t>
  </si>
  <si>
    <t>SO68 HFG</t>
  </si>
  <si>
    <t>34364</t>
  </si>
  <si>
    <t>SO68 HFH</t>
  </si>
  <si>
    <t>34365</t>
  </si>
  <si>
    <t>SO68 HFJ</t>
  </si>
  <si>
    <t>89B</t>
  </si>
  <si>
    <t>Glasgow 38</t>
  </si>
  <si>
    <t>34366</t>
  </si>
  <si>
    <t>SO68 HFK</t>
  </si>
  <si>
    <t>34367</t>
  </si>
  <si>
    <t>SO68 HFL</t>
  </si>
  <si>
    <t>38</t>
  </si>
  <si>
    <t>34369</t>
  </si>
  <si>
    <t>SO68 HFN</t>
  </si>
  <si>
    <t>34370</t>
  </si>
  <si>
    <t>SO68 HFP</t>
  </si>
  <si>
    <t>31 Aug 21:05</t>
  </si>
  <si>
    <t>34371</t>
  </si>
  <si>
    <t>SO68 HFR</t>
  </si>
  <si>
    <t>89</t>
  </si>
  <si>
    <t>08:20</t>
  </si>
  <si>
    <t>34372</t>
  </si>
  <si>
    <t>SO68 HFS</t>
  </si>
  <si>
    <t>34373</t>
  </si>
  <si>
    <t>SO68 HFT</t>
  </si>
  <si>
    <t>34374</t>
  </si>
  <si>
    <t>SO68 HFU</t>
  </si>
  <si>
    <t>34375</t>
  </si>
  <si>
    <t>SO68 HFV</t>
  </si>
  <si>
    <t>34376</t>
  </si>
  <si>
    <t>SO68 HFW</t>
  </si>
  <si>
    <t>34377</t>
  </si>
  <si>
    <t>SO68 HFX</t>
  </si>
  <si>
    <t>34378</t>
  </si>
  <si>
    <t>SO68 HFY</t>
  </si>
  <si>
    <t>34379</t>
  </si>
  <si>
    <t>SO68 HFZ</t>
  </si>
  <si>
    <t>34380</t>
  </si>
  <si>
    <t>SO68 HGA</t>
  </si>
  <si>
    <t>34381</t>
  </si>
  <si>
    <t>SO68 HGC</t>
  </si>
  <si>
    <t>34382</t>
  </si>
  <si>
    <t>SO68 HGD</t>
  </si>
  <si>
    <t>34383</t>
  </si>
  <si>
    <t>SO68 HGE</t>
  </si>
  <si>
    <t>34384</t>
  </si>
  <si>
    <t>SO68 HGF</t>
  </si>
  <si>
    <t>34385</t>
  </si>
  <si>
    <t>SK19 EMF</t>
  </si>
  <si>
    <t>34386</t>
  </si>
  <si>
    <t>SK19 EMJ</t>
  </si>
  <si>
    <t>34387</t>
  </si>
  <si>
    <t>SK19 EMV</t>
  </si>
  <si>
    <t>1 Sep 10:24</t>
  </si>
  <si>
    <t>34388</t>
  </si>
  <si>
    <t>SK19 EMX</t>
  </si>
  <si>
    <t>34389</t>
  </si>
  <si>
    <t>SK19 ENC</t>
  </si>
  <si>
    <t>08:48</t>
  </si>
  <si>
    <t>34390</t>
  </si>
  <si>
    <t>SK19 ENE</t>
  </si>
  <si>
    <t>34391</t>
  </si>
  <si>
    <t>SK19 ENF</t>
  </si>
  <si>
    <t>34392</t>
  </si>
  <si>
    <t>SK19 ENH</t>
  </si>
  <si>
    <t>34393</t>
  </si>
  <si>
    <t>SK19 ENJ</t>
  </si>
  <si>
    <t>34394</t>
  </si>
  <si>
    <t>SK19 ENL</t>
  </si>
  <si>
    <t>10 Jun 11:14</t>
  </si>
  <si>
    <t>34395</t>
  </si>
  <si>
    <t>SK19 ENM</t>
  </si>
  <si>
    <t>34396</t>
  </si>
  <si>
    <t>SK19 ENN</t>
  </si>
  <si>
    <t>34397</t>
  </si>
  <si>
    <t>SK19 ENO</t>
  </si>
  <si>
    <t>34398</t>
  </si>
  <si>
    <t>SK19 ENP</t>
  </si>
  <si>
    <t>34399</t>
  </si>
  <si>
    <t>SK19 ENR</t>
  </si>
  <si>
    <t>38E</t>
  </si>
  <si>
    <t>34400</t>
  </si>
  <si>
    <t>SK19 ENU</t>
  </si>
  <si>
    <t>34401</t>
  </si>
  <si>
    <t>SK19 ENV</t>
  </si>
  <si>
    <t>37137</t>
  </si>
  <si>
    <t>SN57 HCV</t>
  </si>
  <si>
    <t>1 Sep 17:26</t>
  </si>
  <si>
    <t>37143</t>
  </si>
  <si>
    <t>SN57 HDD</t>
  </si>
  <si>
    <t>7A</t>
  </si>
  <si>
    <t>37144</t>
  </si>
  <si>
    <t>SN57 HDE</t>
  </si>
  <si>
    <t>37145</t>
  </si>
  <si>
    <t>SN57 HDF</t>
  </si>
  <si>
    <t>37187</t>
  </si>
  <si>
    <t>SF07 FDZ</t>
  </si>
  <si>
    <t>37188</t>
  </si>
  <si>
    <t>WLT 976</t>
  </si>
  <si>
    <t>Glasgow 61</t>
  </si>
  <si>
    <t>SF07 FCC</t>
  </si>
  <si>
    <t>37189</t>
  </si>
  <si>
    <t>SF07 FCD</t>
  </si>
  <si>
    <t>37190</t>
  </si>
  <si>
    <t>SF07 FCE</t>
  </si>
  <si>
    <t>10</t>
  </si>
  <si>
    <t>37191</t>
  </si>
  <si>
    <t>WLT 677</t>
  </si>
  <si>
    <t>SF07 FCG</t>
  </si>
  <si>
    <t>37192</t>
  </si>
  <si>
    <t>SF07 FCJ</t>
  </si>
  <si>
    <t>37193</t>
  </si>
  <si>
    <t>SF07 FEG</t>
  </si>
  <si>
    <t>37194</t>
  </si>
  <si>
    <t>SF07 FEH</t>
  </si>
  <si>
    <t>37195</t>
  </si>
  <si>
    <t>WLT 408</t>
  </si>
  <si>
    <t>SF07 FEJ</t>
  </si>
  <si>
    <t>37196</t>
  </si>
  <si>
    <t>WLT 910</t>
  </si>
  <si>
    <t>SF07 FEK</t>
  </si>
  <si>
    <t>37197</t>
  </si>
  <si>
    <t>WLT 678</t>
  </si>
  <si>
    <t>16 Aug 13:53</t>
  </si>
  <si>
    <t>SF07 FEM</t>
  </si>
  <si>
    <t>37198</t>
  </si>
  <si>
    <t>SF07 FEO</t>
  </si>
  <si>
    <t>37199</t>
  </si>
  <si>
    <t>SF07 FCL</t>
  </si>
  <si>
    <t>3 Jul 15:01</t>
  </si>
  <si>
    <t>37200</t>
  </si>
  <si>
    <t>SF07 FEP</t>
  </si>
  <si>
    <t>37201</t>
  </si>
  <si>
    <t>MXZ 2151</t>
  </si>
  <si>
    <t>SF07 FCM</t>
  </si>
  <si>
    <t>37202</t>
  </si>
  <si>
    <t>FSU 334</t>
  </si>
  <si>
    <t>SF07 FCO</t>
  </si>
  <si>
    <t>37203</t>
  </si>
  <si>
    <t>WLT 770</t>
  </si>
  <si>
    <t>29 Aug 16:15</t>
  </si>
  <si>
    <t>SF07 FET</t>
  </si>
  <si>
    <t>37204</t>
  </si>
  <si>
    <t>MXZ 2153</t>
  </si>
  <si>
    <t>SF07 FEU</t>
  </si>
  <si>
    <t>37205</t>
  </si>
  <si>
    <t>KSU 391</t>
  </si>
  <si>
    <t>SF57 MKA</t>
  </si>
  <si>
    <t>37206</t>
  </si>
  <si>
    <t>693 AFU</t>
  </si>
  <si>
    <t>14 Aug 22:56</t>
  </si>
  <si>
    <t>SF57 MKC</t>
  </si>
  <si>
    <t>37207</t>
  </si>
  <si>
    <t>CSU 932</t>
  </si>
  <si>
    <t>SF57 MKD</t>
  </si>
  <si>
    <t>37208</t>
  </si>
  <si>
    <t>MXZ 2155</t>
  </si>
  <si>
    <t>SF57 MKG</t>
  </si>
  <si>
    <t>37209</t>
  </si>
  <si>
    <t>MXZ 2156</t>
  </si>
  <si>
    <t>SF57 MKJ</t>
  </si>
  <si>
    <t>37210</t>
  </si>
  <si>
    <t>SF57 MKK</t>
  </si>
  <si>
    <t>37211</t>
  </si>
  <si>
    <t>SF57 MKL</t>
  </si>
  <si>
    <t>37212</t>
  </si>
  <si>
    <t>SF57 MKM</t>
  </si>
  <si>
    <t>26 Jul 09:23</t>
  </si>
  <si>
    <t>37213</t>
  </si>
  <si>
    <t>SF57 MKN</t>
  </si>
  <si>
    <t>08:45</t>
  </si>
  <si>
    <t>37214</t>
  </si>
  <si>
    <t>SF57 MKO</t>
  </si>
  <si>
    <t>The One</t>
  </si>
  <si>
    <t>37215</t>
  </si>
  <si>
    <t>MXZ 3327</t>
  </si>
  <si>
    <t>SF57 MKP</t>
  </si>
  <si>
    <t>37216</t>
  </si>
  <si>
    <t>MXZ 2152</t>
  </si>
  <si>
    <t>SF57 MKU</t>
  </si>
  <si>
    <t>37217</t>
  </si>
  <si>
    <t>MXZ 3341</t>
  </si>
  <si>
    <t>SF57 MKV</t>
  </si>
  <si>
    <t>37218</t>
  </si>
  <si>
    <t>SF57 MKX</t>
  </si>
  <si>
    <t>29 Aug 21:24</t>
  </si>
  <si>
    <t>37219</t>
  </si>
  <si>
    <t>SF57 MKZ</t>
  </si>
  <si>
    <t>37220</t>
  </si>
  <si>
    <t>SF57 MLE</t>
  </si>
  <si>
    <t>37221</t>
  </si>
  <si>
    <t>SF57 MLJ</t>
  </si>
  <si>
    <t>37222</t>
  </si>
  <si>
    <t>SF57 MLK</t>
  </si>
  <si>
    <t>37223</t>
  </si>
  <si>
    <t>SF57 MLL</t>
  </si>
  <si>
    <t>37224</t>
  </si>
  <si>
    <t>SF57 MLN</t>
  </si>
  <si>
    <t>37225</t>
  </si>
  <si>
    <t>SF57 MLO</t>
  </si>
  <si>
    <t>37226</t>
  </si>
  <si>
    <t>SF57 MLU</t>
  </si>
  <si>
    <t>37227</t>
  </si>
  <si>
    <t>SF57 MLV</t>
  </si>
  <si>
    <t>37238</t>
  </si>
  <si>
    <t>YN08 LCT</t>
  </si>
  <si>
    <t>37239</t>
  </si>
  <si>
    <t>YN08 LCU</t>
  </si>
  <si>
    <t>37240</t>
  </si>
  <si>
    <t>YN08 LCV</t>
  </si>
  <si>
    <t>05:54</t>
  </si>
  <si>
    <t>37241</t>
  </si>
  <si>
    <t>YN08 LCW</t>
  </si>
  <si>
    <t>X4</t>
  </si>
  <si>
    <t>37242</t>
  </si>
  <si>
    <t>YN08 LCY</t>
  </si>
  <si>
    <t>37243</t>
  </si>
  <si>
    <t>YN08 LCZ</t>
  </si>
  <si>
    <t>37244</t>
  </si>
  <si>
    <t>YN08 LDA</t>
  </si>
  <si>
    <t>37245</t>
  </si>
  <si>
    <t>YN08 LDC</t>
  </si>
  <si>
    <t>90</t>
  </si>
  <si>
    <t>37266</t>
  </si>
  <si>
    <t>SN57 HDG</t>
  </si>
  <si>
    <t>37267</t>
  </si>
  <si>
    <t>SN57 JAO</t>
  </si>
  <si>
    <t>37268</t>
  </si>
  <si>
    <t>SN57 JAU</t>
  </si>
  <si>
    <t>07:33</t>
  </si>
  <si>
    <t>37269</t>
  </si>
  <si>
    <t>SN57 JBE</t>
  </si>
  <si>
    <t>37270</t>
  </si>
  <si>
    <t>SN57 JBO</t>
  </si>
  <si>
    <t>09:27</t>
  </si>
  <si>
    <t>37271</t>
  </si>
  <si>
    <t>SN57 JBU</t>
  </si>
  <si>
    <t>37272</t>
  </si>
  <si>
    <t>SN57 JBV</t>
  </si>
  <si>
    <t>37273</t>
  </si>
  <si>
    <t>SN57 JBX</t>
  </si>
  <si>
    <t>37278</t>
  </si>
  <si>
    <t>YN08 LDD</t>
  </si>
  <si>
    <t>3</t>
  </si>
  <si>
    <t>37530</t>
  </si>
  <si>
    <t>SF08 SMU</t>
  </si>
  <si>
    <t>Glasgow NHS</t>
  </si>
  <si>
    <t>37531</t>
  </si>
  <si>
    <t>SF08 SMV</t>
  </si>
  <si>
    <t>24 Apr 15:48</t>
  </si>
  <si>
    <t>37532</t>
  </si>
  <si>
    <t>MXZ 3342</t>
  </si>
  <si>
    <t>13 Jul 08:50</t>
  </si>
  <si>
    <t>SF08 SMX</t>
  </si>
  <si>
    <t>37533</t>
  </si>
  <si>
    <t>SF08 SNJ</t>
  </si>
  <si>
    <t>37534</t>
  </si>
  <si>
    <t>SF08 SNK</t>
  </si>
  <si>
    <t>37535</t>
  </si>
  <si>
    <t>MXZ 3343</t>
  </si>
  <si>
    <t>SF08 SNN</t>
  </si>
  <si>
    <t>37536</t>
  </si>
  <si>
    <t>SF08 SNU</t>
  </si>
  <si>
    <t>37537</t>
  </si>
  <si>
    <t>SF08 SNV</t>
  </si>
  <si>
    <t>1 Sep 16:08</t>
  </si>
  <si>
    <t>37538</t>
  </si>
  <si>
    <t>MXZ 3345</t>
  </si>
  <si>
    <t>10 Aug 23:04</t>
  </si>
  <si>
    <t>SF08 SNX</t>
  </si>
  <si>
    <t>37539</t>
  </si>
  <si>
    <t>MXZ 3346</t>
  </si>
  <si>
    <t>SF08 SNY</t>
  </si>
  <si>
    <t>37540</t>
  </si>
  <si>
    <t>MXZ 3347</t>
  </si>
  <si>
    <t>SF08 SNZ</t>
  </si>
  <si>
    <t>37541</t>
  </si>
  <si>
    <t>MXZ 3348</t>
  </si>
  <si>
    <t>SF58 ATY</t>
  </si>
  <si>
    <t>37542</t>
  </si>
  <si>
    <t>MXZ 3349</t>
  </si>
  <si>
    <t>28 Aug 10:53</t>
  </si>
  <si>
    <t>SF58 ATZ</t>
  </si>
  <si>
    <t>37543</t>
  </si>
  <si>
    <t>MXZ 3351</t>
  </si>
  <si>
    <t>SF58 AUA</t>
  </si>
  <si>
    <t>37544</t>
  </si>
  <si>
    <t>MXZ 3374</t>
  </si>
  <si>
    <t>SF58 AUC</t>
  </si>
  <si>
    <t>37736</t>
  </si>
  <si>
    <t>SF09 LDD</t>
  </si>
  <si>
    <t>37737</t>
  </si>
  <si>
    <t>SF09 LDE</t>
  </si>
  <si>
    <t>37738</t>
  </si>
  <si>
    <t>SF09 LDJ</t>
  </si>
  <si>
    <t>Glasgow Corporation</t>
  </si>
  <si>
    <t>37739</t>
  </si>
  <si>
    <t>SF09 LDK</t>
  </si>
  <si>
    <t>07:24</t>
  </si>
  <si>
    <t>37740</t>
  </si>
  <si>
    <t>SF09 LDL</t>
  </si>
  <si>
    <t>37741</t>
  </si>
  <si>
    <t>SF09 LDN</t>
  </si>
  <si>
    <t>37742</t>
  </si>
  <si>
    <t>SF09 LDO</t>
  </si>
  <si>
    <t>37743</t>
  </si>
  <si>
    <t>SF09 LDU</t>
  </si>
  <si>
    <t>37744</t>
  </si>
  <si>
    <t>SF09 LDV</t>
  </si>
  <si>
    <t>8</t>
  </si>
  <si>
    <t>37745</t>
  </si>
  <si>
    <t>SF09 LDX</t>
  </si>
  <si>
    <t>37746</t>
  </si>
  <si>
    <t>SF09 LDY</t>
  </si>
  <si>
    <t>1 Sep 17:36</t>
  </si>
  <si>
    <t>37747</t>
  </si>
  <si>
    <t>SF09 LDZ</t>
  </si>
  <si>
    <t>37748</t>
  </si>
  <si>
    <t>SF09 LEJ</t>
  </si>
  <si>
    <t>37749</t>
  </si>
  <si>
    <t>SF09 LEU</t>
  </si>
  <si>
    <t>37750</t>
  </si>
  <si>
    <t>SF09 LFA</t>
  </si>
  <si>
    <t>37751</t>
  </si>
  <si>
    <t>SF09 LFB</t>
  </si>
  <si>
    <t>Greater Glasgow PTE</t>
  </si>
  <si>
    <t>38406</t>
  </si>
  <si>
    <t>LC71 ESG</t>
  </si>
  <si>
    <t>BYD ADL Enviro400EV</t>
  </si>
  <si>
    <t>38407</t>
  </si>
  <si>
    <t>LC71 ESN</t>
  </si>
  <si>
    <t>38408</t>
  </si>
  <si>
    <t>LC71 ESO</t>
  </si>
  <si>
    <t>38409</t>
  </si>
  <si>
    <t>LC71 ESV</t>
  </si>
  <si>
    <t>38410</t>
  </si>
  <si>
    <t>LC71 ESY</t>
  </si>
  <si>
    <t>38411</t>
  </si>
  <si>
    <t>LC71 ETA</t>
  </si>
  <si>
    <t>38412</t>
  </si>
  <si>
    <t>LC71 ETD</t>
  </si>
  <si>
    <t>38413</t>
  </si>
  <si>
    <t>LC71 ETE</t>
  </si>
  <si>
    <t>38414</t>
  </si>
  <si>
    <t>LC71 ETF</t>
  </si>
  <si>
    <t>38415</t>
  </si>
  <si>
    <t>LC71 ETJ</t>
  </si>
  <si>
    <t>38416</t>
  </si>
  <si>
    <t>LC71 ETK</t>
  </si>
  <si>
    <t>29 Aug 17:26</t>
  </si>
  <si>
    <t>38417</t>
  </si>
  <si>
    <t>LC71 ETL</t>
  </si>
  <si>
    <t>38418</t>
  </si>
  <si>
    <t>LC71 ETO</t>
  </si>
  <si>
    <t>38419</t>
  </si>
  <si>
    <t>LC71 ETR</t>
  </si>
  <si>
    <t>38420</t>
  </si>
  <si>
    <t>LC71 ETT</t>
  </si>
  <si>
    <t>38421</t>
  </si>
  <si>
    <t>LC71 ETU</t>
  </si>
  <si>
    <t>38422</t>
  </si>
  <si>
    <t>LC71 ETV</t>
  </si>
  <si>
    <t>38423</t>
  </si>
  <si>
    <t>LC71 ETX</t>
  </si>
  <si>
    <t>38424</t>
  </si>
  <si>
    <t>LG22 AXC</t>
  </si>
  <si>
    <t>38425</t>
  </si>
  <si>
    <t>LG22 AVJ</t>
  </si>
  <si>
    <t>38426</t>
  </si>
  <si>
    <t>LG22 AWY</t>
  </si>
  <si>
    <t>08:41</t>
  </si>
  <si>
    <t>38427</t>
  </si>
  <si>
    <t>LG22 AWZ</t>
  </si>
  <si>
    <t>38428</t>
  </si>
  <si>
    <t>LG22 AXA</t>
  </si>
  <si>
    <t>38429</t>
  </si>
  <si>
    <t>LG22 AWP</t>
  </si>
  <si>
    <t>38430</t>
  </si>
  <si>
    <t>LG22 AWR</t>
  </si>
  <si>
    <t>38431</t>
  </si>
  <si>
    <t>LG22 AWU</t>
  </si>
  <si>
    <t>38432</t>
  </si>
  <si>
    <t>LG22 AWV</t>
  </si>
  <si>
    <t>38433</t>
  </si>
  <si>
    <t>LG22 AVK</t>
  </si>
  <si>
    <t>38434</t>
  </si>
  <si>
    <t>LG22 AVL</t>
  </si>
  <si>
    <t>38435</t>
  </si>
  <si>
    <t>LG22 AWW</t>
  </si>
  <si>
    <t>38436</t>
  </si>
  <si>
    <t>LG22 AVM</t>
  </si>
  <si>
    <t>38437</t>
  </si>
  <si>
    <t>LG22 AWX</t>
  </si>
  <si>
    <t>27 Jun 18:03</t>
  </si>
  <si>
    <t>38438</t>
  </si>
  <si>
    <t>LG22 AVN</t>
  </si>
  <si>
    <t>38439</t>
  </si>
  <si>
    <t>LG22 AVO</t>
  </si>
  <si>
    <t>38440</t>
  </si>
  <si>
    <t>LG22 AVP</t>
  </si>
  <si>
    <t>38441</t>
  </si>
  <si>
    <t>LG22 AVR</t>
  </si>
  <si>
    <t>38442</t>
  </si>
  <si>
    <t>LG22 AVT</t>
  </si>
  <si>
    <t>38443</t>
  </si>
  <si>
    <t>LG22 AVU</t>
  </si>
  <si>
    <t>38444</t>
  </si>
  <si>
    <t>LG22 AVV</t>
  </si>
  <si>
    <t>38445</t>
  </si>
  <si>
    <t>LG22 AVW</t>
  </si>
  <si>
    <t>38446</t>
  </si>
  <si>
    <t>LG22 AVX</t>
  </si>
  <si>
    <t>38447</t>
  </si>
  <si>
    <t>LG22 AVY</t>
  </si>
  <si>
    <t>38448</t>
  </si>
  <si>
    <t>LG22 AVZ</t>
  </si>
  <si>
    <t>38449</t>
  </si>
  <si>
    <t>LG22 AWA</t>
  </si>
  <si>
    <t>43860</t>
  </si>
  <si>
    <t>MXZ 2148</t>
  </si>
  <si>
    <t>14</t>
  </si>
  <si>
    <t>Dennis Dart SLF Caetano Nimbus</t>
  </si>
  <si>
    <t>EG52 FGF, J101720</t>
  </si>
  <si>
    <t>44527</t>
  </si>
  <si>
    <t>SN62 AYV</t>
  </si>
  <si>
    <t>44528</t>
  </si>
  <si>
    <t>SN62 AYZ</t>
  </si>
  <si>
    <t>227</t>
  </si>
  <si>
    <t>44529</t>
  </si>
  <si>
    <t>SN62 AZA</t>
  </si>
  <si>
    <t>44530</t>
  </si>
  <si>
    <t>SN62 AZB</t>
  </si>
  <si>
    <t>44651</t>
  </si>
  <si>
    <t>SN65 OHR</t>
  </si>
  <si>
    <t>226</t>
  </si>
  <si>
    <t>ADL Enviro200 MMC</t>
  </si>
  <si>
    <t>44652</t>
  </si>
  <si>
    <t>SN65 OHS</t>
  </si>
  <si>
    <t>44653</t>
  </si>
  <si>
    <t>SN65 OHT</t>
  </si>
  <si>
    <t>44654</t>
  </si>
  <si>
    <t>SN65 OHU</t>
  </si>
  <si>
    <t>202</t>
  </si>
  <si>
    <t>09:35</t>
  </si>
  <si>
    <t>44655</t>
  </si>
  <si>
    <t>SN65 OHV</t>
  </si>
  <si>
    <t>44656</t>
  </si>
  <si>
    <t>SN65 OHW</t>
  </si>
  <si>
    <t>44657</t>
  </si>
  <si>
    <t>SN65 OHX</t>
  </si>
  <si>
    <t>44658</t>
  </si>
  <si>
    <t>SN65 OHY</t>
  </si>
  <si>
    <t>44663</t>
  </si>
  <si>
    <t>SK68 LXZ</t>
  </si>
  <si>
    <t>241</t>
  </si>
  <si>
    <t>Lanarkshire 241</t>
  </si>
  <si>
    <t>44664</t>
  </si>
  <si>
    <t>SK68 LYA</t>
  </si>
  <si>
    <t>244</t>
  </si>
  <si>
    <t>44665</t>
  </si>
  <si>
    <t>SK68 LYC</t>
  </si>
  <si>
    <t>44666</t>
  </si>
  <si>
    <t>SK68 LYD</t>
  </si>
  <si>
    <t>44667</t>
  </si>
  <si>
    <t>SK68 LYF</t>
  </si>
  <si>
    <t>44668</t>
  </si>
  <si>
    <t>SK68 LYG</t>
  </si>
  <si>
    <t>44669</t>
  </si>
  <si>
    <t>SK68 LYH</t>
  </si>
  <si>
    <t>44670</t>
  </si>
  <si>
    <t>SK68 LYJ</t>
  </si>
  <si>
    <t>44671</t>
  </si>
  <si>
    <t>SK68 LYO</t>
  </si>
  <si>
    <t>44672</t>
  </si>
  <si>
    <t>SK68 LYP</t>
  </si>
  <si>
    <t>13 Jul 18:16</t>
  </si>
  <si>
    <t>44673</t>
  </si>
  <si>
    <t>SK68 LYR</t>
  </si>
  <si>
    <t>44674</t>
  </si>
  <si>
    <t>SK68 LYS</t>
  </si>
  <si>
    <t>44675</t>
  </si>
  <si>
    <t>SK68 LYT</t>
  </si>
  <si>
    <t>34</t>
  </si>
  <si>
    <t>44676</t>
  </si>
  <si>
    <t>SK68 LYU</t>
  </si>
  <si>
    <t>Glasgow 65</t>
  </si>
  <si>
    <t>44677</t>
  </si>
  <si>
    <t>SK68 LYV</t>
  </si>
  <si>
    <t>44678</t>
  </si>
  <si>
    <t>SK68 LYW</t>
  </si>
  <si>
    <t>44679</t>
  </si>
  <si>
    <t>YW68 OWA</t>
  </si>
  <si>
    <t>240</t>
  </si>
  <si>
    <t>31 Aug 17:46</t>
  </si>
  <si>
    <t>44680</t>
  </si>
  <si>
    <t>YW68 OWB</t>
  </si>
  <si>
    <t>242</t>
  </si>
  <si>
    <t>Lanarkshire 242</t>
  </si>
  <si>
    <t>44681</t>
  </si>
  <si>
    <t>YW68 OWC</t>
  </si>
  <si>
    <t>44682</t>
  </si>
  <si>
    <t>YW68 OWD</t>
  </si>
  <si>
    <t>44683</t>
  </si>
  <si>
    <t>YW68 OWE</t>
  </si>
  <si>
    <t>31 Aug 17:56</t>
  </si>
  <si>
    <t>44684</t>
  </si>
  <si>
    <t>YW68 OWF</t>
  </si>
  <si>
    <t>44685</t>
  </si>
  <si>
    <t>YW68 OWG</t>
  </si>
  <si>
    <t>44686</t>
  </si>
  <si>
    <t>YW68 OWH</t>
  </si>
  <si>
    <t>44687</t>
  </si>
  <si>
    <t>YW68 OWJ</t>
  </si>
  <si>
    <t>44688</t>
  </si>
  <si>
    <t>YW68 OWK</t>
  </si>
  <si>
    <t>254</t>
  </si>
  <si>
    <t>Lanarkshire 254</t>
  </si>
  <si>
    <t>44689</t>
  </si>
  <si>
    <t>YW68 OWM</t>
  </si>
  <si>
    <t>44690</t>
  </si>
  <si>
    <t>YW68 OWO</t>
  </si>
  <si>
    <t>44905</t>
  </si>
  <si>
    <t>YX09 AFN</t>
  </si>
  <si>
    <t>47392</t>
  </si>
  <si>
    <t>LJ13 GKK</t>
  </si>
  <si>
    <t>M60</t>
  </si>
  <si>
    <t>1 Sep 10:00</t>
  </si>
  <si>
    <t>47393</t>
  </si>
  <si>
    <t>LJ13 GKL</t>
  </si>
  <si>
    <t>M11</t>
  </si>
  <si>
    <t>1 Sep 17:57</t>
  </si>
  <si>
    <t>47394</t>
  </si>
  <si>
    <t>LJ13 GKN</t>
  </si>
  <si>
    <t>Glasgow M60</t>
  </si>
  <si>
    <t>47395</t>
  </si>
  <si>
    <t>LJ13 GKU</t>
  </si>
  <si>
    <t>47396</t>
  </si>
  <si>
    <t>LJ13 GKV</t>
  </si>
  <si>
    <t>47397</t>
  </si>
  <si>
    <t>LJ13 GKX</t>
  </si>
  <si>
    <t>81</t>
  </si>
  <si>
    <t>47398</t>
  </si>
  <si>
    <t>LJ13 GKY</t>
  </si>
  <si>
    <t>47399</t>
  </si>
  <si>
    <t>LJ13 GKZ</t>
  </si>
  <si>
    <t>47458</t>
  </si>
  <si>
    <t>SK63 KKV</t>
  </si>
  <si>
    <t>47461</t>
  </si>
  <si>
    <t>SK63 KKY</t>
  </si>
  <si>
    <t>47462</t>
  </si>
  <si>
    <t>SK63 KKZ</t>
  </si>
  <si>
    <t>29 Aug 17:16</t>
  </si>
  <si>
    <t>47463</t>
  </si>
  <si>
    <t>SK63 KLA</t>
  </si>
  <si>
    <t>47464</t>
  </si>
  <si>
    <t>SK63 KLC</t>
  </si>
  <si>
    <t>11</t>
  </si>
  <si>
    <t>47465</t>
  </si>
  <si>
    <t>SK63 KLD</t>
  </si>
  <si>
    <t>47618</t>
  </si>
  <si>
    <t>SN14 DZA</t>
  </si>
  <si>
    <t>206</t>
  </si>
  <si>
    <t>47619</t>
  </si>
  <si>
    <t>SN14 DZB</t>
  </si>
  <si>
    <t>47620</t>
  </si>
  <si>
    <t>SN14 DZC</t>
  </si>
  <si>
    <t>47621</t>
  </si>
  <si>
    <t>SN14 DZD</t>
  </si>
  <si>
    <t>47622</t>
  </si>
  <si>
    <t>SN14 DZE</t>
  </si>
  <si>
    <t>47623</t>
  </si>
  <si>
    <t>SN14 DZF</t>
  </si>
  <si>
    <t>47624</t>
  </si>
  <si>
    <t>SN14 DZG</t>
  </si>
  <si>
    <t>26 Aug 15:35</t>
  </si>
  <si>
    <t>47625</t>
  </si>
  <si>
    <t>SN14 DZH</t>
  </si>
  <si>
    <t>1 Sep 18:35</t>
  </si>
  <si>
    <t>47626</t>
  </si>
  <si>
    <t>SN14 DZJ</t>
  </si>
  <si>
    <t>208</t>
  </si>
  <si>
    <t>47627</t>
  </si>
  <si>
    <t>SN14 DZK</t>
  </si>
  <si>
    <t>47628</t>
  </si>
  <si>
    <t>SN14 DZL</t>
  </si>
  <si>
    <t>48901</t>
  </si>
  <si>
    <t>LB69 JKK</t>
  </si>
  <si>
    <t>M3</t>
  </si>
  <si>
    <t>BYD ADL Enviro200EV</t>
  </si>
  <si>
    <t>Glasgow M3</t>
  </si>
  <si>
    <t>48902</t>
  </si>
  <si>
    <t>LB69 JKO</t>
  </si>
  <si>
    <t>53209</t>
  </si>
  <si>
    <t>CN07 KZM</t>
  </si>
  <si>
    <t>26 Apr 16:56</t>
  </si>
  <si>
    <t>Optare Solo</t>
  </si>
  <si>
    <t>53751</t>
  </si>
  <si>
    <t>YJ15 AOW</t>
  </si>
  <si>
    <t>251</t>
  </si>
  <si>
    <t>SPT</t>
  </si>
  <si>
    <t>53752</t>
  </si>
  <si>
    <t>YJ15 AOX</t>
  </si>
  <si>
    <t>93</t>
  </si>
  <si>
    <t>53754</t>
  </si>
  <si>
    <t>YJ15 AOZ</t>
  </si>
  <si>
    <t>53757</t>
  </si>
  <si>
    <t>YJ15 AOE</t>
  </si>
  <si>
    <t>94</t>
  </si>
  <si>
    <t>23 Jun 18:01</t>
  </si>
  <si>
    <t>53758</t>
  </si>
  <si>
    <t>YJ17 CPV</t>
  </si>
  <si>
    <t>59</t>
  </si>
  <si>
    <t>53759</t>
  </si>
  <si>
    <t>YJ16 DXH</t>
  </si>
  <si>
    <t>M4</t>
  </si>
  <si>
    <t>53760</t>
  </si>
  <si>
    <t>YJ65 EPP</t>
  </si>
  <si>
    <t>49</t>
  </si>
  <si>
    <t>53761</t>
  </si>
  <si>
    <t>YJ66 AOD</t>
  </si>
  <si>
    <t>23 Aug 18:04</t>
  </si>
  <si>
    <t>63224</t>
  </si>
  <si>
    <t>SN14 DYB</t>
  </si>
  <si>
    <t>63225</t>
  </si>
  <si>
    <t>SN14 DYC</t>
  </si>
  <si>
    <t>63226</t>
  </si>
  <si>
    <t>SN14 DYD</t>
  </si>
  <si>
    <t>1 Sep 17:20</t>
  </si>
  <si>
    <t>63227</t>
  </si>
  <si>
    <t>SN14 DYF</t>
  </si>
  <si>
    <t>63228</t>
  </si>
  <si>
    <t>SN14 DYG</t>
  </si>
  <si>
    <t>63229</t>
  </si>
  <si>
    <t>SN14 DYH</t>
  </si>
  <si>
    <t>63230</t>
  </si>
  <si>
    <t>SN14 DYJ</t>
  </si>
  <si>
    <t>63231</t>
  </si>
  <si>
    <t>SN14 DYM</t>
  </si>
  <si>
    <t>63232</t>
  </si>
  <si>
    <t>SN14 DYO</t>
  </si>
  <si>
    <t>63233</t>
  </si>
  <si>
    <t>SN14 DYP</t>
  </si>
  <si>
    <t>63234</t>
  </si>
  <si>
    <t>SN14 DYS</t>
  </si>
  <si>
    <t>63235</t>
  </si>
  <si>
    <t>SN14 DYT</t>
  </si>
  <si>
    <t>23 Aug 10:35</t>
  </si>
  <si>
    <t>63236</t>
  </si>
  <si>
    <t>SN14 DYU</t>
  </si>
  <si>
    <t>255</t>
  </si>
  <si>
    <t>63237</t>
  </si>
  <si>
    <t>SN14 DYV</t>
  </si>
  <si>
    <t>63238</t>
  </si>
  <si>
    <t>SN14 DYW</t>
  </si>
  <si>
    <t>63239</t>
  </si>
  <si>
    <t>SN14 DYX</t>
  </si>
  <si>
    <t>63240</t>
  </si>
  <si>
    <t>SN14 DYY</t>
  </si>
  <si>
    <t>64101</t>
  </si>
  <si>
    <t>LG71 DLF</t>
  </si>
  <si>
    <t>9</t>
  </si>
  <si>
    <t>Glasgow 9/9A</t>
  </si>
  <si>
    <t>64102</t>
  </si>
  <si>
    <t>LG71 DLJ</t>
  </si>
  <si>
    <t>65</t>
  </si>
  <si>
    <t>22 Aug 18:09</t>
  </si>
  <si>
    <t>64103</t>
  </si>
  <si>
    <t>LG71 DLK</t>
  </si>
  <si>
    <t>64104</t>
  </si>
  <si>
    <t>LG71 DLN</t>
  </si>
  <si>
    <t>64105</t>
  </si>
  <si>
    <t>LG71 DLO</t>
  </si>
  <si>
    <t>9A</t>
  </si>
  <si>
    <t>64106</t>
  </si>
  <si>
    <t>LG71 DLU</t>
  </si>
  <si>
    <t>64107</t>
  </si>
  <si>
    <t>LG71 DLV</t>
  </si>
  <si>
    <t>64108</t>
  </si>
  <si>
    <t>LG71 DLX</t>
  </si>
  <si>
    <t>64109</t>
  </si>
  <si>
    <t>LG71 DLZ</t>
  </si>
  <si>
    <t>31 Aug 16:52</t>
  </si>
  <si>
    <t>64110</t>
  </si>
  <si>
    <t>LG71 DME</t>
  </si>
  <si>
    <t>64111</t>
  </si>
  <si>
    <t>LG71 DMF</t>
  </si>
  <si>
    <t>64112</t>
  </si>
  <si>
    <t>LG71 DMO</t>
  </si>
  <si>
    <t>64113</t>
  </si>
  <si>
    <t>LG71 DMU</t>
  </si>
  <si>
    <t>1 Sep 22:00</t>
  </si>
  <si>
    <t>64114</t>
  </si>
  <si>
    <t>LG71 DMV</t>
  </si>
  <si>
    <t>64115</t>
  </si>
  <si>
    <t>LG71 DMX</t>
  </si>
  <si>
    <t>64116</t>
  </si>
  <si>
    <t>LG71 DMY</t>
  </si>
  <si>
    <t>64117</t>
  </si>
  <si>
    <t>LG71 DMZ</t>
  </si>
  <si>
    <t>64118</t>
  </si>
  <si>
    <t>LG71 DND</t>
  </si>
  <si>
    <t>64119</t>
  </si>
  <si>
    <t>LG71 DNE</t>
  </si>
  <si>
    <t>64120</t>
  </si>
  <si>
    <t>LG71 DNF</t>
  </si>
  <si>
    <t>64121</t>
  </si>
  <si>
    <t>LG71 DNJ</t>
  </si>
  <si>
    <t>64122</t>
  </si>
  <si>
    <t>LG71 DNN</t>
  </si>
  <si>
    <t>64123</t>
  </si>
  <si>
    <t>LC71 EFF</t>
  </si>
  <si>
    <t>64</t>
  </si>
  <si>
    <t>64124</t>
  </si>
  <si>
    <t>LC71 EFG</t>
  </si>
  <si>
    <t>64125</t>
  </si>
  <si>
    <t>LC71 EFH</t>
  </si>
  <si>
    <t>7</t>
  </si>
  <si>
    <t>64126</t>
  </si>
  <si>
    <t>LC71 EFJ</t>
  </si>
  <si>
    <t>31</t>
  </si>
  <si>
    <t>64127</t>
  </si>
  <si>
    <t>LC71 EFK</t>
  </si>
  <si>
    <t>1 Sep 10:25</t>
  </si>
  <si>
    <t>64128</t>
  </si>
  <si>
    <t>LC71 EFL</t>
  </si>
  <si>
    <t>64129</t>
  </si>
  <si>
    <t>LC71 KYO</t>
  </si>
  <si>
    <t>64130</t>
  </si>
  <si>
    <t>LC71 KYP</t>
  </si>
  <si>
    <t>64131</t>
  </si>
  <si>
    <t>LC71 KYR</t>
  </si>
  <si>
    <t>64132</t>
  </si>
  <si>
    <t>LC71 KYS</t>
  </si>
  <si>
    <t>64133</t>
  </si>
  <si>
    <t>LC71 KYT</t>
  </si>
  <si>
    <t>64134</t>
  </si>
  <si>
    <t>LC71 WSD</t>
  </si>
  <si>
    <t>64135</t>
  </si>
  <si>
    <t>LC71 WSE</t>
  </si>
  <si>
    <t>64136</t>
  </si>
  <si>
    <t>LC71 WSF</t>
  </si>
  <si>
    <t>64137</t>
  </si>
  <si>
    <t>LC71 WSJ</t>
  </si>
  <si>
    <t>64138</t>
  </si>
  <si>
    <t>LC71 WSK</t>
  </si>
  <si>
    <t>64139</t>
  </si>
  <si>
    <t>LC71 WSL</t>
  </si>
  <si>
    <t>64140</t>
  </si>
  <si>
    <t>LC71 WSN</t>
  </si>
  <si>
    <t>Glasgow 7</t>
  </si>
  <si>
    <t>64141</t>
  </si>
  <si>
    <t>LC71 WSO</t>
  </si>
  <si>
    <t>64142</t>
  </si>
  <si>
    <t>LC71 WSU</t>
  </si>
  <si>
    <t>64143</t>
  </si>
  <si>
    <t>LC71 WSV</t>
  </si>
  <si>
    <t>64144</t>
  </si>
  <si>
    <t>LC71 WSW</t>
  </si>
  <si>
    <t>64145</t>
  </si>
  <si>
    <t>LC71 WSX</t>
  </si>
  <si>
    <t>64146</t>
  </si>
  <si>
    <t>LC71 WSY</t>
  </si>
  <si>
    <t>09:20</t>
  </si>
  <si>
    <t>64147</t>
  </si>
  <si>
    <t>LC71 WSZ</t>
  </si>
  <si>
    <t>64148</t>
  </si>
  <si>
    <t>LC71 WTA</t>
  </si>
  <si>
    <t>64149</t>
  </si>
  <si>
    <t>LG22 AXB</t>
  </si>
  <si>
    <t>64150</t>
  </si>
  <si>
    <t>LG22 AWM</t>
  </si>
  <si>
    <t>64151</t>
  </si>
  <si>
    <t>LG22 AWN</t>
  </si>
  <si>
    <t>64152</t>
  </si>
  <si>
    <t>LG22 AWO</t>
  </si>
  <si>
    <t>67020</t>
  </si>
  <si>
    <t>YX68 USV</t>
  </si>
  <si>
    <t>Fuchsia front</t>
  </si>
  <si>
    <t>67021</t>
  </si>
  <si>
    <t>YX68 USW</t>
  </si>
  <si>
    <t>67022</t>
  </si>
  <si>
    <t>YX68 USY</t>
  </si>
  <si>
    <t>67023</t>
  </si>
  <si>
    <t>YX68 USZ</t>
  </si>
  <si>
    <t>67024</t>
  </si>
  <si>
    <t>YX68 UTA</t>
  </si>
  <si>
    <t>Glasgow 34/34A</t>
  </si>
  <si>
    <t>67025</t>
  </si>
  <si>
    <t>YX68 UTB</t>
  </si>
  <si>
    <t>67026</t>
  </si>
  <si>
    <t>YX68 UTC</t>
  </si>
  <si>
    <t>67027</t>
  </si>
  <si>
    <t>YX68 UTE</t>
  </si>
  <si>
    <t>67028</t>
  </si>
  <si>
    <t>SK68 LYX</t>
  </si>
  <si>
    <t>67029</t>
  </si>
  <si>
    <t>SK68 LYY</t>
  </si>
  <si>
    <t>67030</t>
  </si>
  <si>
    <t>SK68 LYZ</t>
  </si>
  <si>
    <t>67031</t>
  </si>
  <si>
    <t>SK68 LZA</t>
  </si>
  <si>
    <t>67032</t>
  </si>
  <si>
    <t>SK68 LZB</t>
  </si>
  <si>
    <t>67033</t>
  </si>
  <si>
    <t>SK68 LZC</t>
  </si>
  <si>
    <t>67034</t>
  </si>
  <si>
    <t>SK68 LZD</t>
  </si>
  <si>
    <t>67035</t>
  </si>
  <si>
    <t>SK68 LZE</t>
  </si>
  <si>
    <t>67041</t>
  </si>
  <si>
    <t>SN65 OGT</t>
  </si>
  <si>
    <t>Lanarkshire Connect</t>
  </si>
  <si>
    <t>67042</t>
  </si>
  <si>
    <t>SN65 OGU</t>
  </si>
  <si>
    <t>26 Aug 13:00</t>
  </si>
  <si>
    <t>67043</t>
  </si>
  <si>
    <t>SN65 OGV</t>
  </si>
  <si>
    <t>29 Aug 23:04</t>
  </si>
  <si>
    <t>Lanarkshire 240</t>
  </si>
  <si>
    <t>67044</t>
  </si>
  <si>
    <t>SN65 OGW</t>
  </si>
  <si>
    <t>67045</t>
  </si>
  <si>
    <t>SN65 OGX</t>
  </si>
  <si>
    <t>24 Jul 09:07</t>
  </si>
  <si>
    <t>67046</t>
  </si>
  <si>
    <t>SN65 OGY</t>
  </si>
  <si>
    <t>67047</t>
  </si>
  <si>
    <t>SN65 OGZ</t>
  </si>
  <si>
    <t>67048</t>
  </si>
  <si>
    <t>SN65 OHA</t>
  </si>
  <si>
    <t>67049</t>
  </si>
  <si>
    <t>SN65 ZDL</t>
  </si>
  <si>
    <t>67051</t>
  </si>
  <si>
    <t>SN65 ZDO</t>
  </si>
  <si>
    <t>67052</t>
  </si>
  <si>
    <t>SN65 ZDP</t>
  </si>
  <si>
    <t>67053</t>
  </si>
  <si>
    <t>SN65 ZDR</t>
  </si>
  <si>
    <t>1 Sep 16:22</t>
  </si>
  <si>
    <t>67054</t>
  </si>
  <si>
    <t>SN65 ZDS</t>
  </si>
  <si>
    <t>67055</t>
  </si>
  <si>
    <t>SN65 ZDT</t>
  </si>
  <si>
    <t>67056</t>
  </si>
  <si>
    <t>SN65 ZDU</t>
  </si>
  <si>
    <t>67057</t>
  </si>
  <si>
    <t>SN65 ZDV</t>
  </si>
  <si>
    <t>67058</t>
  </si>
  <si>
    <t>SN65 ZDW</t>
  </si>
  <si>
    <t>67059</t>
  </si>
  <si>
    <t>SN65 ZDX</t>
  </si>
  <si>
    <t>1 Sep 11:15</t>
  </si>
  <si>
    <t>67060</t>
  </si>
  <si>
    <t>SN65 ZDY</t>
  </si>
  <si>
    <t>67061</t>
  </si>
  <si>
    <t>SN65 ZDZ</t>
  </si>
  <si>
    <t>67062</t>
  </si>
  <si>
    <t>SN65 ZFA</t>
  </si>
  <si>
    <t>67063</t>
  </si>
  <si>
    <t>SN65 ZFB</t>
  </si>
  <si>
    <t>67064</t>
  </si>
  <si>
    <t>SN65 ZFC</t>
  </si>
  <si>
    <t>67065</t>
  </si>
  <si>
    <t>SN65 ZFD</t>
  </si>
  <si>
    <t>67066</t>
  </si>
  <si>
    <t>SN65 ZFE</t>
  </si>
  <si>
    <t>67067</t>
  </si>
  <si>
    <t>SN65 ZFF</t>
  </si>
  <si>
    <t>67068</t>
  </si>
  <si>
    <t>SN65 ZFG</t>
  </si>
  <si>
    <t>67069</t>
  </si>
  <si>
    <t>SN65 ZFH</t>
  </si>
  <si>
    <t>67070</t>
  </si>
  <si>
    <t>SN65 ZFJ</t>
  </si>
  <si>
    <t>67071</t>
  </si>
  <si>
    <t>SN65 ZFK</t>
  </si>
  <si>
    <t>67072</t>
  </si>
  <si>
    <t>SN65 ZFL</t>
  </si>
  <si>
    <t>67073</t>
  </si>
  <si>
    <t>SN65 ZFM</t>
  </si>
  <si>
    <t>67074</t>
  </si>
  <si>
    <t>SN65 ZFO</t>
  </si>
  <si>
    <t>67075</t>
  </si>
  <si>
    <t>SN65 ZFP</t>
  </si>
  <si>
    <t>31 Aug 23:52</t>
  </si>
  <si>
    <t>67076</t>
  </si>
  <si>
    <t>SN65 ZFR</t>
  </si>
  <si>
    <t>67077</t>
  </si>
  <si>
    <t>SN65 ZFS</t>
  </si>
  <si>
    <t>67078</t>
  </si>
  <si>
    <t>SN65 ZFT</t>
  </si>
  <si>
    <t>08:00</t>
  </si>
  <si>
    <t>67079</t>
  </si>
  <si>
    <t>SN65 ZFU</t>
  </si>
  <si>
    <t>67080</t>
  </si>
  <si>
    <t>SN65 ZFV</t>
  </si>
  <si>
    <t>67081</t>
  </si>
  <si>
    <t>SN65 ZFW</t>
  </si>
  <si>
    <t>67083</t>
  </si>
  <si>
    <t>SN65 ZFY</t>
  </si>
  <si>
    <t>67711</t>
  </si>
  <si>
    <t>SN62 ABU</t>
  </si>
  <si>
    <t>1B</t>
  </si>
  <si>
    <t>67712</t>
  </si>
  <si>
    <t>SN62 ABV</t>
  </si>
  <si>
    <t>1</t>
  </si>
  <si>
    <t>67713</t>
  </si>
  <si>
    <t>SN62 ABX</t>
  </si>
  <si>
    <t>67714</t>
  </si>
  <si>
    <t>SN62 ABZ</t>
  </si>
  <si>
    <t>1C</t>
  </si>
  <si>
    <t>67715</t>
  </si>
  <si>
    <t>SN62 ACX</t>
  </si>
  <si>
    <t>67716</t>
  </si>
  <si>
    <t>SN62 ACZ</t>
  </si>
  <si>
    <t>67717</t>
  </si>
  <si>
    <t>SN62 ADU</t>
  </si>
  <si>
    <t>1A</t>
  </si>
  <si>
    <t>67718</t>
  </si>
  <si>
    <t>SN62 ADV</t>
  </si>
  <si>
    <t>67719</t>
  </si>
  <si>
    <t>SN62 AEA</t>
  </si>
  <si>
    <t>67720</t>
  </si>
  <si>
    <t>SN62 AEF</t>
  </si>
  <si>
    <t>67721</t>
  </si>
  <si>
    <t>SN62 AEK</t>
  </si>
  <si>
    <t>67722</t>
  </si>
  <si>
    <t>SN62 AET</t>
  </si>
  <si>
    <t>67723</t>
  </si>
  <si>
    <t>SN62 AEU</t>
  </si>
  <si>
    <t>67724</t>
  </si>
  <si>
    <t>SN62 AEY</t>
  </si>
  <si>
    <t>67725</t>
  </si>
  <si>
    <t>SN62 AFE</t>
  </si>
  <si>
    <t>67726</t>
  </si>
  <si>
    <t>SN62 AFJ</t>
  </si>
  <si>
    <t>67727</t>
  </si>
  <si>
    <t>SN62 AFK</t>
  </si>
  <si>
    <t>67728</t>
  </si>
  <si>
    <t>SN62 AFU</t>
  </si>
  <si>
    <t>67729</t>
  </si>
  <si>
    <t>SN62 AFY</t>
  </si>
  <si>
    <t>67730</t>
  </si>
  <si>
    <t>SN62 AFZ</t>
  </si>
  <si>
    <t>67731</t>
  </si>
  <si>
    <t>SN62 AGV</t>
  </si>
  <si>
    <t>67732</t>
  </si>
  <si>
    <t>SN62 AGY</t>
  </si>
  <si>
    <t>67733</t>
  </si>
  <si>
    <t>SN62 AHD</t>
  </si>
  <si>
    <t>67734</t>
  </si>
  <si>
    <t>SN62 AHF</t>
  </si>
  <si>
    <t>67743</t>
  </si>
  <si>
    <t>SN62 AKP</t>
  </si>
  <si>
    <t>Glasgow 2</t>
  </si>
  <si>
    <t>67744</t>
  </si>
  <si>
    <t>SN62 AMV</t>
  </si>
  <si>
    <t>67749</t>
  </si>
  <si>
    <t>SN62 AOF</t>
  </si>
  <si>
    <t>67766</t>
  </si>
  <si>
    <t>SN13 CGF</t>
  </si>
  <si>
    <t>67767</t>
  </si>
  <si>
    <t>SN13 CGG</t>
  </si>
  <si>
    <t>67768</t>
  </si>
  <si>
    <t>SN13 CGK</t>
  </si>
  <si>
    <t>67769</t>
  </si>
  <si>
    <t>SN13 CGO</t>
  </si>
  <si>
    <t>67770</t>
  </si>
  <si>
    <t>SN13 CGU</t>
  </si>
  <si>
    <t>67771</t>
  </si>
  <si>
    <t>SN13 CGV</t>
  </si>
  <si>
    <t>67772</t>
  </si>
  <si>
    <t>SN13 CGX</t>
  </si>
  <si>
    <t>67806</t>
  </si>
  <si>
    <t>SN13 EAY</t>
  </si>
  <si>
    <t>189</t>
  </si>
  <si>
    <t>67807</t>
  </si>
  <si>
    <t>SN13 EBA</t>
  </si>
  <si>
    <t>Glasgow 3</t>
  </si>
  <si>
    <t>67808</t>
  </si>
  <si>
    <t>SN13 EBC</t>
  </si>
  <si>
    <t>67809</t>
  </si>
  <si>
    <t>SN13 EBD</t>
  </si>
  <si>
    <t>67810</t>
  </si>
  <si>
    <t>SN13 EBF</t>
  </si>
  <si>
    <t>67811</t>
  </si>
  <si>
    <t>SN13 EBG</t>
  </si>
  <si>
    <t>67812</t>
  </si>
  <si>
    <t>SN13 EBJ</t>
  </si>
  <si>
    <t>67813</t>
  </si>
  <si>
    <t>SN13 EBK</t>
  </si>
  <si>
    <t>67814</t>
  </si>
  <si>
    <t>SN13 EBL</t>
  </si>
  <si>
    <t>67815</t>
  </si>
  <si>
    <t>SN13 EBM</t>
  </si>
  <si>
    <t>67816</t>
  </si>
  <si>
    <t>SN13 EBO</t>
  </si>
  <si>
    <t>67817</t>
  </si>
  <si>
    <t>SN13 EBP</t>
  </si>
  <si>
    <t>67818</t>
  </si>
  <si>
    <t>SN13 EBU</t>
  </si>
  <si>
    <t>25 Aug 12:24</t>
  </si>
  <si>
    <t>67819</t>
  </si>
  <si>
    <t>SN13 EBV</t>
  </si>
  <si>
    <t>67820</t>
  </si>
  <si>
    <t>SN13 EBX</t>
  </si>
  <si>
    <t>67821</t>
  </si>
  <si>
    <t>SN13 EBZ</t>
  </si>
  <si>
    <t>67822</t>
  </si>
  <si>
    <t>SN13 ECA</t>
  </si>
  <si>
    <t>67823</t>
  </si>
  <si>
    <t>SN13 ECC</t>
  </si>
  <si>
    <t>67824</t>
  </si>
  <si>
    <t>SN13 ECD</t>
  </si>
  <si>
    <t>67825</t>
  </si>
  <si>
    <t>SN13 ECF</t>
  </si>
  <si>
    <t>67826</t>
  </si>
  <si>
    <t>SN13 ECJ</t>
  </si>
  <si>
    <t>67827</t>
  </si>
  <si>
    <t>SN13 ECT</t>
  </si>
  <si>
    <t>67828</t>
  </si>
  <si>
    <t>SN13 ECV</t>
  </si>
  <si>
    <t>67829</t>
  </si>
  <si>
    <t>SN13 ECW</t>
  </si>
  <si>
    <t>67830</t>
  </si>
  <si>
    <t>SN13 ECX</t>
  </si>
  <si>
    <t>67831</t>
  </si>
  <si>
    <t>SN13 ECY</t>
  </si>
  <si>
    <t>67832</t>
  </si>
  <si>
    <t>SN13 ECZ</t>
  </si>
  <si>
    <t>67833</t>
  </si>
  <si>
    <t>SN13 EDC</t>
  </si>
  <si>
    <t>67834</t>
  </si>
  <si>
    <t>SN13 EDF</t>
  </si>
  <si>
    <t>29 Aug 16:56</t>
  </si>
  <si>
    <t>Lanarkshire 201</t>
  </si>
  <si>
    <t>67835</t>
  </si>
  <si>
    <t>SN13 EDJ</t>
  </si>
  <si>
    <t>67836</t>
  </si>
  <si>
    <t>SN13 EDK</t>
  </si>
  <si>
    <t>67837</t>
  </si>
  <si>
    <t>SN13 EDL</t>
  </si>
  <si>
    <t>67838</t>
  </si>
  <si>
    <t>SN13 EDO</t>
  </si>
  <si>
    <t>67839</t>
  </si>
  <si>
    <t>SN13 EDP</t>
  </si>
  <si>
    <t>67840</t>
  </si>
  <si>
    <t>SN13 EDR</t>
  </si>
  <si>
    <t>67841</t>
  </si>
  <si>
    <t>SN13 EDU</t>
  </si>
  <si>
    <t>67842</t>
  </si>
  <si>
    <t>SN13 EDV</t>
  </si>
  <si>
    <t>67843</t>
  </si>
  <si>
    <t>SN13 EDX</t>
  </si>
  <si>
    <t>67844</t>
  </si>
  <si>
    <t>SN13 EEF</t>
  </si>
  <si>
    <t>67845</t>
  </si>
  <si>
    <t>SN13 EEG</t>
  </si>
  <si>
    <t>67846</t>
  </si>
  <si>
    <t>SN13 EEH</t>
  </si>
  <si>
    <t>67847</t>
  </si>
  <si>
    <t>SN13 EEJ</t>
  </si>
  <si>
    <t>67848</t>
  </si>
  <si>
    <t>SN13 EEM</t>
  </si>
  <si>
    <t>67849</t>
  </si>
  <si>
    <t>SN13 EEO</t>
  </si>
  <si>
    <t>67850</t>
  </si>
  <si>
    <t>SN13 EEP</t>
  </si>
  <si>
    <t>67851</t>
  </si>
  <si>
    <t>SN13 EES</t>
  </si>
  <si>
    <t>67852</t>
  </si>
  <si>
    <t>SN13 EET</t>
  </si>
  <si>
    <t>67853</t>
  </si>
  <si>
    <t>SN13 EEU</t>
  </si>
  <si>
    <t>67854</t>
  </si>
  <si>
    <t>SN13 EEV</t>
  </si>
  <si>
    <t>67855</t>
  </si>
  <si>
    <t>SN13 EEW</t>
  </si>
  <si>
    <t>67856</t>
  </si>
  <si>
    <t>SN13 EEX</t>
  </si>
  <si>
    <t>67857</t>
  </si>
  <si>
    <t>SN13 EEY</t>
  </si>
  <si>
    <t>67858</t>
  </si>
  <si>
    <t>SN13 EEZ</t>
  </si>
  <si>
    <t>67859</t>
  </si>
  <si>
    <t>SN13 EFA</t>
  </si>
  <si>
    <t>67860</t>
  </si>
  <si>
    <t>SN13 EFB</t>
  </si>
  <si>
    <t>67861</t>
  </si>
  <si>
    <t>SN13 EFC</t>
  </si>
  <si>
    <t>67862</t>
  </si>
  <si>
    <t>SN13 EFD</t>
  </si>
  <si>
    <t>67863</t>
  </si>
  <si>
    <t>SN13 EFE</t>
  </si>
  <si>
    <t>67864</t>
  </si>
  <si>
    <t>SN13 EFF</t>
  </si>
  <si>
    <t>67865</t>
  </si>
  <si>
    <t>SN13 EFG</t>
  </si>
  <si>
    <t>67866</t>
  </si>
  <si>
    <t>SN13 EFH</t>
  </si>
  <si>
    <t>07:40</t>
  </si>
  <si>
    <t>67867</t>
  </si>
  <si>
    <t>SN13 EFJ</t>
  </si>
  <si>
    <t>67868</t>
  </si>
  <si>
    <t>SN13 EFK</t>
  </si>
  <si>
    <t>67869</t>
  </si>
  <si>
    <t>SN13 EFL</t>
  </si>
  <si>
    <t>67870</t>
  </si>
  <si>
    <t>SN63 MYP</t>
  </si>
  <si>
    <t>12 Aug 18:17</t>
  </si>
  <si>
    <t>67871</t>
  </si>
  <si>
    <t>SN63 MYR</t>
  </si>
  <si>
    <t>67872</t>
  </si>
  <si>
    <t>SN63 MYS</t>
  </si>
  <si>
    <t>67873</t>
  </si>
  <si>
    <t>SN63 MYT</t>
  </si>
  <si>
    <t>67874</t>
  </si>
  <si>
    <t>SN63 MYU</t>
  </si>
  <si>
    <t>67875</t>
  </si>
  <si>
    <t>SN63 MYV</t>
  </si>
  <si>
    <t>67876</t>
  </si>
  <si>
    <t>SN63 MYW</t>
  </si>
  <si>
    <t>67877</t>
  </si>
  <si>
    <t>SN63 MYX</t>
  </si>
  <si>
    <t>67878</t>
  </si>
  <si>
    <t>SN63 MYY</t>
  </si>
  <si>
    <t>67879</t>
  </si>
  <si>
    <t>SN63 MYZ</t>
  </si>
  <si>
    <t>67880</t>
  </si>
  <si>
    <t>SN63 MZD</t>
  </si>
  <si>
    <t>67881</t>
  </si>
  <si>
    <t>SN63 MZE</t>
  </si>
  <si>
    <t>29 Aug 17:25</t>
  </si>
  <si>
    <t>67882</t>
  </si>
  <si>
    <t>SN63 MZF</t>
  </si>
  <si>
    <t>67883</t>
  </si>
  <si>
    <t>SN63 MZG</t>
  </si>
  <si>
    <t>67884</t>
  </si>
  <si>
    <t>SK63 ATY</t>
  </si>
  <si>
    <t>67885</t>
  </si>
  <si>
    <t>SK63 ATZ</t>
  </si>
  <si>
    <t>67886</t>
  </si>
  <si>
    <t>SK63 AUA</t>
  </si>
  <si>
    <t>67887</t>
  </si>
  <si>
    <t>SK63 AUC</t>
  </si>
  <si>
    <t>67888</t>
  </si>
  <si>
    <t>SK63 AUE</t>
  </si>
  <si>
    <t>67889</t>
  </si>
  <si>
    <t>SK63 AUF</t>
  </si>
  <si>
    <t>1 Sep 15:52</t>
  </si>
  <si>
    <t>67890</t>
  </si>
  <si>
    <t>SK63 AUH</t>
  </si>
  <si>
    <t>67891</t>
  </si>
  <si>
    <t>SK63 AUJ</t>
  </si>
  <si>
    <t>67892</t>
  </si>
  <si>
    <t>SK63 AUL</t>
  </si>
  <si>
    <t>67893</t>
  </si>
  <si>
    <t>SK63 AUM</t>
  </si>
  <si>
    <t>67894</t>
  </si>
  <si>
    <t>SK63 AUN</t>
  </si>
  <si>
    <t>26 Aug 13:50</t>
  </si>
  <si>
    <t>69035</t>
  </si>
  <si>
    <t>SF55 UBV</t>
  </si>
  <si>
    <t>31 Aug 18:48</t>
  </si>
  <si>
    <t>69038</t>
  </si>
  <si>
    <t>SF06 GXJ</t>
  </si>
  <si>
    <t>69039</t>
  </si>
  <si>
    <t>SF06 GXG</t>
  </si>
  <si>
    <t>31 Aug 22:42</t>
  </si>
  <si>
    <t>69040</t>
  </si>
  <si>
    <t>SF06 GXK</t>
  </si>
  <si>
    <t>22 Aug 23:23</t>
  </si>
  <si>
    <t>69042</t>
  </si>
  <si>
    <t>SF55 UBB</t>
  </si>
  <si>
    <t>1 Sep 15:40</t>
  </si>
  <si>
    <t>69057</t>
  </si>
  <si>
    <t>SF06 GXM</t>
  </si>
  <si>
    <t>69060</t>
  </si>
  <si>
    <t>SF06 GXO</t>
  </si>
  <si>
    <t>26 Aug 16:42</t>
  </si>
  <si>
    <t>69064</t>
  </si>
  <si>
    <t>SF06 GXT</t>
  </si>
  <si>
    <t>1 Sep 18:00</t>
  </si>
  <si>
    <t>69066</t>
  </si>
  <si>
    <t>SF06 GYB</t>
  </si>
  <si>
    <t>12 Aug 15:27</t>
  </si>
  <si>
    <t>69067</t>
  </si>
  <si>
    <t>SF06 GYC</t>
  </si>
  <si>
    <t>69068</t>
  </si>
  <si>
    <t>SF06 GYD</t>
  </si>
  <si>
    <t>26 Aug 16:03</t>
  </si>
  <si>
    <t>69077</t>
  </si>
  <si>
    <t>SF06 GYA</t>
  </si>
  <si>
    <t>8 Aug 19:04</t>
  </si>
  <si>
    <t>2 Sep 23:26</t>
  </si>
  <si>
    <t>2 Sep 14:55</t>
  </si>
  <si>
    <t>2 Sep 23:54</t>
  </si>
  <si>
    <t>2 Sep 23:37</t>
  </si>
  <si>
    <t>2 Sep 17:50</t>
  </si>
  <si>
    <t>3 Sep 06:13</t>
  </si>
  <si>
    <t>22:27</t>
  </si>
  <si>
    <t>3 Sep 10:49</t>
  </si>
  <si>
    <t>3 Sep 15:51</t>
  </si>
  <si>
    <t>3 Sep 17:06</t>
  </si>
  <si>
    <t>09:00</t>
  </si>
  <si>
    <t>23:30</t>
  </si>
  <si>
    <t>09:15</t>
  </si>
  <si>
    <t>2 Sep 07:35</t>
  </si>
  <si>
    <t>09:30</t>
  </si>
  <si>
    <t>3 Sep 19:15</t>
  </si>
  <si>
    <t>23:23</t>
  </si>
  <si>
    <t>23:22</t>
  </si>
  <si>
    <t>23:40</t>
  </si>
  <si>
    <t>2 Sep 16:22</t>
  </si>
  <si>
    <t>23:04</t>
  </si>
  <si>
    <t>08:30</t>
  </si>
  <si>
    <t>22:25</t>
  </si>
  <si>
    <t>3 Sep 09:10</t>
  </si>
  <si>
    <t>23:31</t>
  </si>
  <si>
    <t>23:00</t>
  </si>
  <si>
    <t>23:05</t>
  </si>
  <si>
    <t>3 Sep 15:13</t>
  </si>
  <si>
    <t>N18</t>
  </si>
  <si>
    <t>03:10</t>
  </si>
  <si>
    <t>08:47</t>
  </si>
  <si>
    <t>3 Sep 12:25</t>
  </si>
  <si>
    <t>08:26</t>
  </si>
  <si>
    <t>08:09</t>
  </si>
  <si>
    <t>2 Sep 17:30</t>
  </si>
  <si>
    <t>09:09</t>
  </si>
  <si>
    <t>3 Sep 17:40</t>
  </si>
  <si>
    <t>00:00</t>
  </si>
  <si>
    <t>08:17</t>
  </si>
  <si>
    <t>3 Sep 18:59</t>
  </si>
  <si>
    <t>08:23</t>
  </si>
  <si>
    <t>00:30</t>
  </si>
  <si>
    <t>N267</t>
  </si>
  <si>
    <t>03:05</t>
  </si>
  <si>
    <t>09:06</t>
  </si>
  <si>
    <t>3 Sep 08:06</t>
  </si>
  <si>
    <t>09:04</t>
  </si>
  <si>
    <t>23:59</t>
  </si>
  <si>
    <t>3 Sep 18:33</t>
  </si>
  <si>
    <t>09:26</t>
  </si>
  <si>
    <t>3 Sep 17:30</t>
  </si>
  <si>
    <t>08:16</t>
  </si>
  <si>
    <t>08:56</t>
  </si>
  <si>
    <t>3 Sep 19:56</t>
  </si>
  <si>
    <t>23:24</t>
  </si>
  <si>
    <t>3 Sep 18:15</t>
  </si>
  <si>
    <t>3 Sep 18:53</t>
  </si>
  <si>
    <t>08:36</t>
  </si>
  <si>
    <t>22:37</t>
  </si>
  <si>
    <t>09:25</t>
  </si>
  <si>
    <t>08:06</t>
  </si>
  <si>
    <t>3 Sep 17:14</t>
  </si>
  <si>
    <t>07:46</t>
  </si>
  <si>
    <t>3 Sep 14:27</t>
  </si>
  <si>
    <t>3 Sep 18:13</t>
  </si>
  <si>
    <t>N6</t>
  </si>
  <si>
    <t>3 Sep 03:15</t>
  </si>
  <si>
    <t>3 Sep 16:58</t>
  </si>
  <si>
    <t>3 Sep 16:43</t>
  </si>
  <si>
    <t>3 Sep 14:42</t>
  </si>
  <si>
    <t>3 Sep 17:47</t>
  </si>
  <si>
    <t>07:11</t>
  </si>
  <si>
    <t>00:11</t>
  </si>
  <si>
    <t>07:20</t>
  </si>
  <si>
    <t>21:46</t>
  </si>
  <si>
    <t>3 Sep 15:57</t>
  </si>
  <si>
    <t>02:15</t>
  </si>
  <si>
    <t>22:21</t>
  </si>
  <si>
    <t>3 Sep 19:25</t>
  </si>
  <si>
    <t>03:15</t>
  </si>
  <si>
    <t>2 Sep 23:11</t>
  </si>
  <si>
    <t>3 Sep 17:22</t>
  </si>
  <si>
    <t>2 Sep 16:45</t>
  </si>
  <si>
    <t>3 Sep 15:58</t>
  </si>
  <si>
    <t>22:07</t>
  </si>
  <si>
    <t>07:45</t>
  </si>
  <si>
    <t>23:17</t>
  </si>
  <si>
    <t>22:33</t>
  </si>
  <si>
    <t>07:50</t>
  </si>
  <si>
    <t>3 Sep 18:42</t>
  </si>
  <si>
    <t>3 Sep 17:58</t>
  </si>
  <si>
    <t>08:34</t>
  </si>
  <si>
    <t>3 Sep 18:11</t>
  </si>
  <si>
    <t>08:35</t>
  </si>
  <si>
    <t>3 Sep 15:20</t>
  </si>
  <si>
    <t>N2</t>
  </si>
  <si>
    <t>22:05</t>
  </si>
  <si>
    <t>07:52</t>
  </si>
  <si>
    <t>3 Sep 20:48</t>
  </si>
  <si>
    <t>23:26</t>
  </si>
  <si>
    <t>3 Sep 17:57</t>
  </si>
  <si>
    <t>21:39</t>
  </si>
  <si>
    <t>2 Sep 21:23</t>
  </si>
  <si>
    <t>22:04</t>
  </si>
  <si>
    <t>21:04</t>
  </si>
  <si>
    <t>08:49</t>
  </si>
  <si>
    <t>2 Sep 08:48</t>
  </si>
  <si>
    <t>09:07</t>
  </si>
  <si>
    <t>08:12</t>
  </si>
  <si>
    <t>3 Sep 16:25</t>
  </si>
  <si>
    <t>08:03</t>
  </si>
  <si>
    <t>22:54</t>
  </si>
  <si>
    <t>07:18</t>
  </si>
  <si>
    <t>22:43</t>
  </si>
  <si>
    <t>08:55</t>
  </si>
  <si>
    <t>21:25</t>
  </si>
  <si>
    <t>3 Sep 15:21</t>
  </si>
  <si>
    <t>22:49</t>
  </si>
  <si>
    <t>22:20</t>
  </si>
  <si>
    <t>3 Sep 18:20</t>
  </si>
  <si>
    <t>08:31</t>
  </si>
  <si>
    <t>3 Sep 11:57</t>
  </si>
  <si>
    <t>3 Sep 15:09</t>
  </si>
  <si>
    <t>22:51</t>
  </si>
  <si>
    <t>3 Sep 09:19</t>
  </si>
  <si>
    <t>08:01</t>
  </si>
  <si>
    <t>2 Sep 18:16</t>
  </si>
  <si>
    <t>3 Sep 15:07</t>
  </si>
  <si>
    <t>00:21</t>
  </si>
  <si>
    <t>3 Sep 17:29</t>
  </si>
  <si>
    <t>23:29</t>
  </si>
  <si>
    <t>3 Sep 19:10</t>
  </si>
  <si>
    <t>23:28</t>
  </si>
  <si>
    <t>3 Sep 12:51</t>
  </si>
  <si>
    <t>2 Sep 16:15</t>
  </si>
  <si>
    <t>3 Sep 17:50</t>
  </si>
  <si>
    <t>3 Sep 18:22</t>
  </si>
  <si>
    <t>07:51</t>
  </si>
  <si>
    <t>23:55</t>
  </si>
  <si>
    <t>3 Sep 17:27</t>
  </si>
  <si>
    <t>2 Sep 13:25</t>
  </si>
  <si>
    <t>23:32</t>
  </si>
  <si>
    <t>2 Sep 22:21</t>
  </si>
  <si>
    <t>22:19</t>
  </si>
  <si>
    <t>23:13</t>
  </si>
  <si>
    <t>09:19</t>
  </si>
  <si>
    <t>07:56</t>
  </si>
  <si>
    <t>21:23</t>
  </si>
  <si>
    <t>05:48</t>
  </si>
  <si>
    <t>3 Sep 16:13</t>
  </si>
  <si>
    <t>23:27</t>
  </si>
  <si>
    <t>00:25</t>
  </si>
  <si>
    <t>2 Sep 07:33</t>
  </si>
  <si>
    <t>23:19</t>
  </si>
  <si>
    <t>3 Sep 16:51</t>
  </si>
  <si>
    <t>21:57</t>
  </si>
  <si>
    <t>07:42</t>
  </si>
  <si>
    <t>3 Sep 18:37</t>
  </si>
  <si>
    <t>22:18</t>
  </si>
  <si>
    <t>22:23</t>
  </si>
  <si>
    <t>3 Sep 19:54</t>
  </si>
  <si>
    <t>2 Sep 22:49</t>
  </si>
  <si>
    <t>21:50</t>
  </si>
  <si>
    <t>07:08</t>
  </si>
  <si>
    <t>00:41</t>
  </si>
  <si>
    <t>3 Sep 14:21</t>
  </si>
  <si>
    <t>08:13</t>
  </si>
  <si>
    <t>07:39</t>
  </si>
  <si>
    <t>3 Sep 14:29</t>
  </si>
  <si>
    <t>08:08</t>
  </si>
  <si>
    <t>23:02</t>
  </si>
  <si>
    <t>3 Sep 07:32</t>
  </si>
  <si>
    <t>3 Sep 18:23</t>
  </si>
  <si>
    <t>3 Sep 15:11</t>
  </si>
  <si>
    <t>2 Sep 18:13</t>
  </si>
  <si>
    <t>07:36</t>
  </si>
  <si>
    <t>3 Sep 17:17</t>
  </si>
  <si>
    <t>3 Sep 17:05</t>
  </si>
  <si>
    <t>3 Sep 16:28</t>
  </si>
  <si>
    <t>3 Sep 11:05</t>
  </si>
  <si>
    <t>3 Sep 20:01</t>
  </si>
  <si>
    <t>3 Sep 16:52</t>
  </si>
  <si>
    <t>2 Sep 22:53</t>
  </si>
  <si>
    <t>00:01</t>
  </si>
  <si>
    <t>08:04</t>
  </si>
  <si>
    <t>3 Sep 17:37</t>
  </si>
  <si>
    <t>38A</t>
  </si>
  <si>
    <t>3 Sep 18:09</t>
  </si>
  <si>
    <t>3 Sep 17:19</t>
  </si>
  <si>
    <t>3 Sep 17:25</t>
  </si>
  <si>
    <t>08:59</t>
  </si>
  <si>
    <t>23:01</t>
  </si>
  <si>
    <t>08:18</t>
  </si>
  <si>
    <t>22:56</t>
  </si>
  <si>
    <t>07:53</t>
  </si>
  <si>
    <t>3 Sep 18:47</t>
  </si>
  <si>
    <t>3 Sep 19:06</t>
  </si>
  <si>
    <t>3 Sep 17:34</t>
  </si>
  <si>
    <t>07:48</t>
  </si>
  <si>
    <t>3 Sep 19:30</t>
  </si>
  <si>
    <t>23:56</t>
  </si>
  <si>
    <t>07:09</t>
  </si>
  <si>
    <t>22:34</t>
  </si>
  <si>
    <t>08:46</t>
  </si>
  <si>
    <t>08:37</t>
  </si>
  <si>
    <t>2 Sep 13:28</t>
  </si>
  <si>
    <t>3 Sep 18:02</t>
  </si>
  <si>
    <t>3 Sep 17:03</t>
  </si>
  <si>
    <t>3 Sep 17:53</t>
  </si>
  <si>
    <t>2 Sep 18:10</t>
  </si>
  <si>
    <t>3 Sep 13:38</t>
  </si>
  <si>
    <t>3 Sep 18:45</t>
  </si>
  <si>
    <t>2 Sep 09:35</t>
  </si>
  <si>
    <t>23:25</t>
  </si>
  <si>
    <t>3 Sep 18:10</t>
  </si>
  <si>
    <t>22:00</t>
  </si>
  <si>
    <t>2 Sep 23:16</t>
  </si>
  <si>
    <t>07:38</t>
  </si>
  <si>
    <t>08:07</t>
  </si>
  <si>
    <t>3 Sep 17:56</t>
  </si>
  <si>
    <t>3 Sep 18:26</t>
  </si>
  <si>
    <t>3 Sep 16:32</t>
  </si>
  <si>
    <t>3 Sep 09:02</t>
  </si>
  <si>
    <t>3 Sep 10:37</t>
  </si>
  <si>
    <t>21:53</t>
  </si>
  <si>
    <t>22:59</t>
  </si>
  <si>
    <t>3 Sep 18:05</t>
  </si>
  <si>
    <t>3 Sep 17:45</t>
  </si>
  <si>
    <t>23:16</t>
  </si>
  <si>
    <t>3 Sep 15:01</t>
  </si>
  <si>
    <t>23:10</t>
  </si>
  <si>
    <t>3 Sep 18:25</t>
  </si>
  <si>
    <t>3 Sep 16:20</t>
  </si>
  <si>
    <t>3 Sep 13:34</t>
  </si>
  <si>
    <t>3 Sep 20:47</t>
  </si>
  <si>
    <t>2 Sep 20:16</t>
  </si>
  <si>
    <t>3 Sep 17:00</t>
  </si>
  <si>
    <t>3 Sep 17:15</t>
  </si>
  <si>
    <t>2 Sep 09:45</t>
  </si>
  <si>
    <t>3 Sep 16:45</t>
  </si>
  <si>
    <t>3 Sep 18:08</t>
  </si>
  <si>
    <t>3 Sep 16:29</t>
  </si>
  <si>
    <t>3 Sep 18:34</t>
  </si>
  <si>
    <t>3 Sep 15:30</t>
  </si>
  <si>
    <t>3 Sep 18:30</t>
  </si>
  <si>
    <t>2 Sep 18:35</t>
  </si>
  <si>
    <t>3 Sep 18:06</t>
  </si>
  <si>
    <t>22:42</t>
  </si>
  <si>
    <t>3 Sep 18:35</t>
  </si>
  <si>
    <t>2 Sep 23:42</t>
  </si>
  <si>
    <t>3 Sep 18:19</t>
  </si>
  <si>
    <t>3 Sep 16:08</t>
  </si>
  <si>
    <t>22:06</t>
  </si>
  <si>
    <t>3 Sep 17:38</t>
  </si>
  <si>
    <t>3 Sep 15:56</t>
  </si>
  <si>
    <t>3 Sep 18:04</t>
  </si>
  <si>
    <t>3 Sep 16:33</t>
  </si>
  <si>
    <t>3 Sep 18:12</t>
  </si>
  <si>
    <t>3 Sep 15:33</t>
  </si>
  <si>
    <t>2 Sep 17:27</t>
  </si>
  <si>
    <t>3 Sep 18:38</t>
  </si>
  <si>
    <t>3 Sep 16:42</t>
  </si>
  <si>
    <t>2 Sep 16:12</t>
  </si>
  <si>
    <t>22:48</t>
  </si>
  <si>
    <t>3 Sep 19:07</t>
  </si>
  <si>
    <t>23:48</t>
  </si>
  <si>
    <t>2 Sep 22:48</t>
  </si>
  <si>
    <t>3 Sep 15:45</t>
  </si>
  <si>
    <t>3 Sep 16:26</t>
  </si>
  <si>
    <t>3 Sep 19:58</t>
  </si>
  <si>
    <t>3 Sep 17:39</t>
  </si>
  <si>
    <t>3 Sep 18:32</t>
  </si>
  <si>
    <t>21:27</t>
  </si>
  <si>
    <t>3 Sep 17:52</t>
  </si>
  <si>
    <t>23:12</t>
  </si>
  <si>
    <t>2 Sep 14:43</t>
  </si>
  <si>
    <t>23:21</t>
  </si>
  <si>
    <t>07:31</t>
  </si>
  <si>
    <t>3 Sep 14:49</t>
  </si>
  <si>
    <t>3 Sep 18:18</t>
  </si>
  <si>
    <t>07:58</t>
  </si>
  <si>
    <t>3 Sep 20:28</t>
  </si>
  <si>
    <t>2 Sep 16:10</t>
  </si>
  <si>
    <t>3 Sep 16:56</t>
  </si>
  <si>
    <t>3 Sep 19:09</t>
  </si>
  <si>
    <t>3 Sep 12:02</t>
  </si>
  <si>
    <t>3 Sep 16:04</t>
  </si>
  <si>
    <t>3 Sep 19:20</t>
  </si>
  <si>
    <t>3 Sep 14:34</t>
  </si>
  <si>
    <t>23:08</t>
  </si>
  <si>
    <t>08:10</t>
  </si>
  <si>
    <t>22:47</t>
  </si>
  <si>
    <t>08:40</t>
  </si>
  <si>
    <t>23:38</t>
  </si>
  <si>
    <t>22:38</t>
  </si>
  <si>
    <t>3 Sep 17:20</t>
  </si>
  <si>
    <t>3 Sep 16:46</t>
  </si>
  <si>
    <t>08:21</t>
  </si>
  <si>
    <t>2 Sep 12:58</t>
  </si>
  <si>
    <t>3 Sep 17:46</t>
  </si>
  <si>
    <t>21:18</t>
  </si>
  <si>
    <t>07:47</t>
  </si>
  <si>
    <t>22:10</t>
  </si>
  <si>
    <t>3 Sep 16:16</t>
  </si>
  <si>
    <t>3 Sep 17:51</t>
  </si>
  <si>
    <t>N240</t>
  </si>
  <si>
    <t>3 Sep 17:31</t>
  </si>
  <si>
    <t>3 Sep 13:00</t>
  </si>
  <si>
    <t>22:29</t>
  </si>
  <si>
    <t>3 Sep 14:36</t>
  </si>
  <si>
    <t>3 Sep 17:12</t>
  </si>
  <si>
    <t>2 Sep 23:04</t>
  </si>
  <si>
    <t>2 Sep 20:10</t>
  </si>
  <si>
    <t>3 Sep 17:36</t>
  </si>
  <si>
    <t>3 Sep 16:48</t>
  </si>
  <si>
    <t>21:10</t>
  </si>
  <si>
    <t>3 Sep 15:12</t>
  </si>
  <si>
    <t>3 Sep 16:12</t>
  </si>
  <si>
    <t>2 Sep 17:34</t>
  </si>
  <si>
    <t>23:20</t>
  </si>
  <si>
    <t>3 Sep 16:36</t>
  </si>
  <si>
    <t>3 Sep 20:10</t>
  </si>
  <si>
    <t>3 Sep 15:48</t>
  </si>
  <si>
    <t>3 Sep 15:24</t>
  </si>
  <si>
    <t>2 Sep 23:29</t>
  </si>
  <si>
    <t>2 Sep 08:05</t>
  </si>
  <si>
    <t>07:19</t>
  </si>
  <si>
    <t>21:58</t>
  </si>
  <si>
    <t>21:28</t>
  </si>
  <si>
    <t>09:28</t>
  </si>
  <si>
    <t>08:58</t>
  </si>
  <si>
    <t>00:22</t>
  </si>
  <si>
    <t>2 Sep 23:32</t>
  </si>
  <si>
    <t>3 Sep 17:49</t>
  </si>
  <si>
    <t>21:30</t>
  </si>
  <si>
    <t>2 Sep 17:46</t>
  </si>
  <si>
    <t>23:06</t>
  </si>
  <si>
    <t>22:36</t>
  </si>
  <si>
    <t>3 Sep 16:37</t>
  </si>
  <si>
    <t>2 Sep 17:05</t>
  </si>
  <si>
    <t>2 Sep 18:53</t>
  </si>
  <si>
    <t>3 Sep 13:43</t>
  </si>
  <si>
    <t>3 Sep 18:43</t>
  </si>
  <si>
    <t>3 Sep 16:57</t>
  </si>
  <si>
    <t>2 Sep 19:48</t>
  </si>
  <si>
    <t>2 Sep 21:51</t>
  </si>
  <si>
    <t>3 Sep 17:13</t>
  </si>
  <si>
    <t>08:33</t>
  </si>
  <si>
    <t>2 Sep 19:42</t>
  </si>
  <si>
    <t>190</t>
  </si>
  <si>
    <t>21:35</t>
  </si>
  <si>
    <t>2 Sep 18:03</t>
  </si>
  <si>
    <t>2 Sep 19:57</t>
  </si>
  <si>
    <t>3 Sep 16:09</t>
  </si>
  <si>
    <t>3 Sep 16:53</t>
  </si>
  <si>
    <t>3 Sep 16:17</t>
  </si>
  <si>
    <t>3 Sep 15:37</t>
  </si>
  <si>
    <t>23:53</t>
  </si>
  <si>
    <t>07:28</t>
  </si>
  <si>
    <t>22:35</t>
  </si>
  <si>
    <t>22:02</t>
  </si>
  <si>
    <t>3 Sep 15:22</t>
  </si>
  <si>
    <t>2 Sep 16:50</t>
  </si>
  <si>
    <t>22:32</t>
  </si>
  <si>
    <t>3 Sep 20:32</t>
  </si>
  <si>
    <t>21:32</t>
  </si>
  <si>
    <t>22:24</t>
  </si>
  <si>
    <t>06:53</t>
  </si>
  <si>
    <t>3 Sep 16:54</t>
  </si>
  <si>
    <t>2 Sep 22:52</t>
  </si>
  <si>
    <t>3 Sep 19:38</t>
  </si>
  <si>
    <t>2 Sep 15:45</t>
  </si>
  <si>
    <t>22:08</t>
  </si>
  <si>
    <t>3 Sep 19:27</t>
  </si>
  <si>
    <t>3 Sep 19:23</t>
  </si>
  <si>
    <t>16</t>
  </si>
  <si>
    <t>08:25</t>
  </si>
  <si>
    <t>06:33</t>
  </si>
  <si>
    <t>2 Sep 17:56</t>
  </si>
  <si>
    <t>3 Sep 20:38</t>
  </si>
  <si>
    <t>3 Sep 19:18</t>
  </si>
  <si>
    <t>3 Sep 20:50</t>
  </si>
  <si>
    <t>23:33</t>
  </si>
  <si>
    <t>3 Sep 16:31</t>
  </si>
  <si>
    <t>20:59</t>
  </si>
  <si>
    <t>09:12</t>
  </si>
  <si>
    <t>3 Sep 19:01</t>
  </si>
  <si>
    <t>3 Sep 18:03</t>
  </si>
  <si>
    <t>3 Sep 17:09</t>
  </si>
  <si>
    <t>3 Sep 19:00</t>
  </si>
  <si>
    <t>2 Sep 18:04</t>
  </si>
  <si>
    <t>09:03</t>
  </si>
  <si>
    <t>21:44</t>
  </si>
  <si>
    <t>21:14</t>
  </si>
  <si>
    <t>22:14</t>
  </si>
  <si>
    <t>2 Sep 17:02</t>
  </si>
  <si>
    <t>21:40</t>
  </si>
  <si>
    <t>2 Sep 22:16</t>
  </si>
  <si>
    <t>22:52</t>
  </si>
  <si>
    <t>3 Sep 20:18</t>
  </si>
  <si>
    <t>3 Sep 16:23</t>
  </si>
  <si>
    <t>3 Sep 18:58</t>
  </si>
  <si>
    <t>02:05</t>
  </si>
  <si>
    <t>3 Sep 15:59</t>
  </si>
  <si>
    <t>3 Sep 17:28</t>
  </si>
  <si>
    <t>3 Sep 17:55</t>
  </si>
  <si>
    <t>09:42</t>
  </si>
  <si>
    <t>09:34</t>
  </si>
  <si>
    <t>3 Sep 16:22</t>
  </si>
  <si>
    <t>08:42</t>
  </si>
  <si>
    <t>21:51</t>
  </si>
  <si>
    <t>3 Sep 14:20</t>
  </si>
  <si>
    <t>3 Sep 18:17</t>
  </si>
  <si>
    <t>3 Sep 19:57</t>
  </si>
  <si>
    <t>08:32</t>
  </si>
  <si>
    <t>09:01</t>
  </si>
  <si>
    <t>2 Sep 16:57</t>
  </si>
  <si>
    <t>2 Sep 23:21</t>
  </si>
  <si>
    <t>2 Sep 16:19</t>
  </si>
  <si>
    <t>List Unique Vehicle Types:</t>
  </si>
  <si>
    <t>List Unique Vehicle Liveries:</t>
  </si>
  <si>
    <t>Count vehicles last tracked on route:</t>
  </si>
  <si>
    <t>Total vehicles in list:</t>
  </si>
  <si>
    <t>Total entries in list:</t>
  </si>
  <si>
    <t>Total vehicles with Last Tracked info missing:</t>
  </si>
  <si>
    <t>Total vehicles with Type info missing:</t>
  </si>
  <si>
    <t>Total vehicles with Livery info missing: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</si>
</sst>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dddd\,\ dd/mmm/yyyy\ hh:mm"/>
    <numFmt numFmtId="170" formatCode="&quot;(&quot;d\ &quot;day(s),&quot;\ h\ &quot;hours and&quot;\ m\ &quot;minutes ago)&quot;"/>
  </numFmts>
  <fonts count="9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1" fillId="2" borderId="2" applyNumberFormat="0" applyAlignment="0" applyProtection="0"/>
    <xf numFmtId="0" fontId="2" fillId="2" borderId="1" applyNumberFormat="0" applyAlignment="0" applyProtection="0"/>
    <xf numFmtId="0" fontId="3" fillId="0" borderId="3" applyNumberFormat="0" applyFill="0" applyAlignment="0" applyProtection="0"/>
    <xf numFmtId="0" fontId="4" fillId="3" borderId="4" applyNumberFormat="0" applyAlignment="0" applyProtection="0"/>
    <xf numFmtId="0" fontId="7" fillId="4" borderId="0" applyNumberFormat="0" applyBorder="0" applyAlignment="0" applyProtection="0"/>
    <xf numFmtId="0" fontId="6" fillId="5" borderId="0" applyNumberFormat="0" applyBorder="0" applyAlignment="0" applyProtection="0"/>
  </cellStyleXfs>
  <cellXfs count="26">
    <xf numFmtId="0" fontId="0" fillId="0" borderId="0" xfId="0"/>
    <xf numFmtId="0" fontId="0" fillId="0" borderId="0" xfId="0" applyNumberFormat="1"/>
    <xf numFmtId="0" fontId="2" fillId="2" borderId="1" xfId="2"/>
    <xf numFmtId="0" fontId="3" fillId="0" borderId="3" xfId="3"/>
    <xf numFmtId="0" fontId="3" fillId="2" borderId="3" xfId="3" applyFill="1"/>
    <xf numFmtId="0" fontId="1" fillId="2" borderId="2" xfId="1"/>
    <xf numFmtId="0" fontId="4" fillId="3" borderId="4" xfId="4"/>
    <xf numFmtId="22" fontId="0" fillId="0" borderId="0" xfId="0" applyNumberFormat="1"/>
    <xf numFmtId="0" fontId="7" fillId="4" borderId="0" xfId="5"/>
    <xf numFmtId="9" fontId="2" fillId="2" borderId="1" xfId="2" applyNumberFormat="1"/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3" fillId="2" borderId="3" xfId="3" applyNumberFormat="1" applyFill="1" applyAlignment="1">
      <alignment horizontal="left"/>
    </xf>
    <xf numFmtId="0" fontId="3" fillId="0" borderId="3" xfId="3" applyNumberFormat="1" applyAlignment="1">
      <alignment horizontal="left"/>
    </xf>
    <xf numFmtId="0" fontId="0" fillId="0" borderId="0" xfId="0" applyNumberFormat="1" applyAlignment="1">
      <alignment horizontal="left" vertical="center" wrapText="1"/>
    </xf>
    <xf numFmtId="0" fontId="0" fillId="0" borderId="5" xfId="0" applyNumberFormat="1" applyBorder="1" applyAlignment="1">
      <alignment horizontal="left" vertical="center" wrapText="1"/>
    </xf>
    <xf numFmtId="167" fontId="6" fillId="5" borderId="0" xfId="6" applyNumberFormat="1" applyAlignment="1">
      <alignment horizontal="right"/>
    </xf>
    <xf numFmtId="170" fontId="6" fillId="5" borderId="0" xfId="6" applyNumberFormat="1" applyAlignment="1">
      <alignment horizontal="right"/>
    </xf>
    <xf numFmtId="0" fontId="4" fillId="3" borderId="6" xfId="4" applyBorder="1" applyAlignment="1">
      <alignment horizontal="right"/>
    </xf>
    <xf numFmtId="0" fontId="4" fillId="3" borderId="7" xfId="4" applyBorder="1" applyAlignment="1">
      <alignment horizontal="right"/>
    </xf>
    <xf numFmtId="0" fontId="4" fillId="3" borderId="6" xfId="4" applyBorder="1" applyAlignment="1">
      <alignment horizontal="right" wrapText="1"/>
    </xf>
    <xf numFmtId="0" fontId="4" fillId="3" borderId="7" xfId="4" applyBorder="1" applyAlignment="1">
      <alignment horizontal="right" wrapText="1"/>
    </xf>
  </cellXfs>
  <cellStyles count="7">
    <cellStyle name="20% - Accent6" xfId="6" builtinId="50"/>
    <cellStyle name="Accent6" xfId="5" builtinId="49"/>
    <cellStyle name="Calculation" xfId="2" builtinId="22"/>
    <cellStyle name="Check Cell" xfId="4" builtinId="23"/>
    <cellStyle name="Linked Cell" xfId="3" builtinId="24"/>
    <cellStyle name="Normal" xfId="0" builtinId="0"/>
    <cellStyle name="Output" xfId="1" builtinId="21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F014E4E0-C8FA-44C8-B047-1DD8AB96ABEE}" autoFormatId="16" applyNumberFormats="0" applyBorderFormats="0" applyFontFormats="0" applyPatternFormats="0" applyAlignmentFormats="0" applyWidthHeightFormats="0">
  <queryTableRefresh nextId="2">
    <queryTableFields count="1">
      <queryTableField id="1" name="Table 0 Refresh Tim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AE17E33-DED2-4380-AD63-5301516DB2E8}" autoFormatId="16" applyNumberFormats="0" applyBorderFormats="0" applyFontFormats="0" applyPatternFormats="0" applyAlignmentFormats="0" applyWidthHeightFormats="0">
  <queryTableRefresh nextId="39">
    <queryTableFields count="11">
      <queryTableField id="19" name="Column1" tableColumnId="19"/>
      <queryTableField id="20" name="2" tableColumnId="20"/>
      <queryTableField id="35" name="Last tracked" tableColumnId="4"/>
      <queryTableField id="22" name="Last tracked2" tableColumnId="22"/>
      <queryTableField id="23" name="Type" tableColumnId="23"/>
      <queryTableField id="24" name="Livery" tableColumnId="24"/>
      <queryTableField id="25" name="Branding" tableColumnId="25"/>
      <queryTableField id="26" name="Previous reg" tableColumnId="26"/>
      <queryTableField id="27" name="Special features" tableColumnId="27"/>
      <queryTableField id="37" name="Column10" tableColumnId="1"/>
      <queryTableField id="29" name="Column11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3BA5F4-31E1-40D3-B6CF-693C4C2AA565}" name="Table_0_Refresh_Time" displayName="Table_0_Refresh_Time" ref="A1:A2" tableType="queryTable" totalsRowShown="0">
  <autoFilter ref="A1:A2" xr:uid="{963BA5F4-31E1-40D3-B6CF-693C4C2AA565}"/>
  <tableColumns count="1">
    <tableColumn id="1" xr3:uid="{066CEF12-BCB5-4A3E-92F4-197AEACE76D7}" uniqueName="1" name="Table 0 Refresh Time" queryTableFieldId="1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41148B-F6A6-4ADF-B88A-492680D49693}" name="Table_0" displayName="Table_0" ref="A1:K632" tableType="queryTable" totalsRowShown="0">
  <autoFilter ref="A1:K632" xr:uid="{A241148B-F6A6-4ADF-B88A-492680D49693}"/>
  <tableColumns count="11">
    <tableColumn id="19" xr3:uid="{F469A3B0-0E8D-4D2A-AAEF-DE6FAD503A7D}" uniqueName="19" name="Column1" queryTableFieldId="19" dataDxfId="10"/>
    <tableColumn id="20" xr3:uid="{7F719996-329F-48F4-9974-5AA642EB7BEA}" uniqueName="20" name="2" queryTableFieldId="20" dataDxfId="9"/>
    <tableColumn id="4" xr3:uid="{3DDD5AD5-D597-4164-9DC8-72329968CEF6}" uniqueName="4" name="Last tracked" queryTableFieldId="35" dataDxfId="8"/>
    <tableColumn id="22" xr3:uid="{39B6AD55-F145-4FAE-AA69-DA2635AFF165}" uniqueName="22" name="Last tracked2" queryTableFieldId="22" dataDxfId="7"/>
    <tableColumn id="23" xr3:uid="{C30A1EF7-879B-4255-97BB-ED149DA177AD}" uniqueName="23" name="Type" queryTableFieldId="23" dataDxfId="6"/>
    <tableColumn id="24" xr3:uid="{D16E00D4-7905-45FD-8C8A-01D4B05039E4}" uniqueName="24" name="Livery" queryTableFieldId="24" dataDxfId="5"/>
    <tableColumn id="25" xr3:uid="{42E9C42F-16DC-4FD3-AFE5-C49C68148F97}" uniqueName="25" name="Branding" queryTableFieldId="25" dataDxfId="4"/>
    <tableColumn id="26" xr3:uid="{355F6B39-C9B4-416C-B5BA-1F3D824A7B2B}" uniqueName="26" name="Previous reg" queryTableFieldId="26" dataDxfId="3"/>
    <tableColumn id="27" xr3:uid="{CF299752-C701-4995-9039-4BD6404FB94E}" uniqueName="27" name="Special features" queryTableFieldId="27" dataDxfId="2"/>
    <tableColumn id="1" xr3:uid="{6EFA3F75-BD42-4956-B657-F28911A3B885}" uniqueName="1" name="Column10" queryTableFieldId="37" dataDxfId="1"/>
    <tableColumn id="29" xr3:uid="{2D2F6ECE-D222-4C60-8135-60E0FDCEC511}" uniqueName="29" name="Column11" queryTableFieldId="2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91BDF-3B54-4151-B415-5C7EA8B2712D}">
  <sheetPr codeName="Sheet3"/>
  <dimension ref="A1:A2"/>
  <sheetViews>
    <sheetView workbookViewId="0"/>
  </sheetViews>
  <sheetFormatPr defaultRowHeight="15" x14ac:dyDescent="0.25"/>
  <cols>
    <col min="1" max="1" width="22" bestFit="1" customWidth="1"/>
  </cols>
  <sheetData>
    <row r="1" spans="1:1" x14ac:dyDescent="0.25">
      <c r="A1" t="s">
        <v>24</v>
      </c>
    </row>
    <row r="2" spans="1:1" x14ac:dyDescent="0.25">
      <c r="A2" s="7">
        <v>44808.368340370369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2FF3-3F39-4722-8E56-50F5CC426296}">
  <sheetPr codeName="Sheet1"/>
  <dimension ref="A1:K632"/>
  <sheetViews>
    <sheetView topLeftCell="A502" workbookViewId="0">
      <selection activeCell="M7" sqref="M7"/>
    </sheetView>
  </sheetViews>
  <sheetFormatPr defaultRowHeight="15" x14ac:dyDescent="0.25"/>
  <cols>
    <col min="1" max="1" width="11.140625" bestFit="1" customWidth="1"/>
    <col min="2" max="2" width="11.28515625" bestFit="1" customWidth="1"/>
    <col min="3" max="3" width="13.7109375" style="1" bestFit="1" customWidth="1"/>
    <col min="4" max="4" width="14.7109375" bestFit="1" customWidth="1"/>
    <col min="5" max="5" width="31.140625" bestFit="1" customWidth="1"/>
    <col min="6" max="7" width="22.7109375" bestFit="1" customWidth="1"/>
    <col min="8" max="8" width="16.85546875" bestFit="1" customWidth="1"/>
    <col min="9" max="9" width="17.5703125" bestFit="1" customWidth="1"/>
    <col min="10" max="11" width="12.140625" bestFit="1" customWidth="1"/>
    <col min="12" max="15" width="12.140625" customWidth="1"/>
    <col min="16" max="16" width="12.140625" bestFit="1" customWidth="1"/>
    <col min="17" max="17" width="20" bestFit="1" customWidth="1"/>
    <col min="18" max="18" width="22" bestFit="1" customWidth="1"/>
    <col min="19" max="19" width="5.42578125" bestFit="1" customWidth="1"/>
    <col min="20" max="20" width="14.140625" bestFit="1" customWidth="1"/>
    <col min="21" max="21" width="31.140625" bestFit="1" customWidth="1"/>
    <col min="22" max="23" width="22.7109375" bestFit="1" customWidth="1"/>
    <col min="24" max="24" width="16.85546875" bestFit="1" customWidth="1"/>
    <col min="25" max="25" width="11.140625" bestFit="1" customWidth="1"/>
    <col min="26" max="27" width="17.42578125" bestFit="1" customWidth="1"/>
    <col min="28" max="28" width="13.7109375" bestFit="1" customWidth="1"/>
    <col min="29" max="29" width="14.7109375" bestFit="1" customWidth="1"/>
    <col min="30" max="30" width="31.140625" bestFit="1" customWidth="1"/>
    <col min="31" max="32" width="22.7109375" bestFit="1" customWidth="1"/>
    <col min="33" max="33" width="16.85546875" bestFit="1" customWidth="1"/>
    <col min="34" max="34" width="17.5703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26</v>
      </c>
      <c r="K1" t="s">
        <v>20</v>
      </c>
    </row>
    <row r="2" spans="1:11" x14ac:dyDescent="0.25">
      <c r="A2" s="1" t="s">
        <v>46</v>
      </c>
      <c r="B2" s="1" t="s">
        <v>47</v>
      </c>
      <c r="C2" s="1" t="s">
        <v>31</v>
      </c>
      <c r="D2" s="1" t="s">
        <v>1519</v>
      </c>
      <c r="E2" s="1" t="s">
        <v>27</v>
      </c>
      <c r="F2" s="1" t="s">
        <v>37</v>
      </c>
      <c r="G2" s="1" t="s">
        <v>37</v>
      </c>
      <c r="H2" s="1"/>
      <c r="I2" s="1"/>
      <c r="J2" s="1" t="s">
        <v>19</v>
      </c>
      <c r="K2" s="1" t="s">
        <v>18</v>
      </c>
    </row>
    <row r="3" spans="1:11" x14ac:dyDescent="0.25">
      <c r="A3" s="1" t="s">
        <v>48</v>
      </c>
      <c r="B3" s="1" t="s">
        <v>49</v>
      </c>
      <c r="C3" s="1" t="s">
        <v>50</v>
      </c>
      <c r="D3" s="1" t="s">
        <v>1520</v>
      </c>
      <c r="E3" s="1" t="s">
        <v>27</v>
      </c>
      <c r="F3" s="1" t="s">
        <v>40</v>
      </c>
      <c r="G3" s="1" t="s">
        <v>40</v>
      </c>
      <c r="H3" s="1"/>
      <c r="I3" s="1"/>
      <c r="J3" s="1" t="s">
        <v>19</v>
      </c>
      <c r="K3" s="1" t="s">
        <v>18</v>
      </c>
    </row>
    <row r="4" spans="1:11" x14ac:dyDescent="0.25">
      <c r="A4" s="1" t="s">
        <v>52</v>
      </c>
      <c r="B4" s="1" t="s">
        <v>53</v>
      </c>
      <c r="C4" s="1" t="s">
        <v>63</v>
      </c>
      <c r="D4" s="1" t="s">
        <v>1521</v>
      </c>
      <c r="E4" s="1" t="s">
        <v>27</v>
      </c>
      <c r="F4" s="1" t="s">
        <v>37</v>
      </c>
      <c r="G4" s="1" t="s">
        <v>37</v>
      </c>
      <c r="H4" s="1"/>
      <c r="I4" s="1"/>
      <c r="J4" s="1" t="s">
        <v>19</v>
      </c>
      <c r="K4" s="1" t="s">
        <v>18</v>
      </c>
    </row>
    <row r="5" spans="1:11" x14ac:dyDescent="0.25">
      <c r="A5" s="1" t="s">
        <v>55</v>
      </c>
      <c r="B5" s="1" t="s">
        <v>56</v>
      </c>
      <c r="C5" s="1" t="s">
        <v>13</v>
      </c>
      <c r="D5" s="1" t="s">
        <v>1522</v>
      </c>
      <c r="E5" s="1" t="s">
        <v>27</v>
      </c>
      <c r="F5" s="1" t="s">
        <v>37</v>
      </c>
      <c r="G5" s="1" t="s">
        <v>37</v>
      </c>
      <c r="H5" s="1"/>
      <c r="I5" s="1"/>
      <c r="J5" s="1" t="s">
        <v>19</v>
      </c>
      <c r="K5" s="1" t="s">
        <v>18</v>
      </c>
    </row>
    <row r="6" spans="1:11" x14ac:dyDescent="0.25">
      <c r="A6" s="1" t="s">
        <v>57</v>
      </c>
      <c r="B6" s="1" t="s">
        <v>58</v>
      </c>
      <c r="C6" s="1" t="s">
        <v>12</v>
      </c>
      <c r="D6" s="1" t="s">
        <v>1523</v>
      </c>
      <c r="E6" s="1" t="s">
        <v>27</v>
      </c>
      <c r="F6" s="1" t="s">
        <v>37</v>
      </c>
      <c r="G6" s="1" t="s">
        <v>37</v>
      </c>
      <c r="H6" s="1"/>
      <c r="I6" s="1"/>
      <c r="J6" s="1" t="s">
        <v>19</v>
      </c>
      <c r="K6" s="1" t="s">
        <v>18</v>
      </c>
    </row>
    <row r="7" spans="1:11" x14ac:dyDescent="0.25">
      <c r="A7" s="1" t="s">
        <v>59</v>
      </c>
      <c r="B7" s="1" t="s">
        <v>60</v>
      </c>
      <c r="C7" s="1" t="s">
        <v>28</v>
      </c>
      <c r="D7" s="1" t="s">
        <v>1524</v>
      </c>
      <c r="E7" s="1" t="s">
        <v>27</v>
      </c>
      <c r="F7" s="1" t="s">
        <v>37</v>
      </c>
      <c r="G7" s="1" t="s">
        <v>37</v>
      </c>
      <c r="H7" s="1"/>
      <c r="I7" s="1"/>
      <c r="J7" s="1" t="s">
        <v>19</v>
      </c>
      <c r="K7" s="1" t="s">
        <v>18</v>
      </c>
    </row>
    <row r="8" spans="1:11" x14ac:dyDescent="0.25">
      <c r="A8" s="1" t="s">
        <v>61</v>
      </c>
      <c r="B8" s="1" t="s">
        <v>62</v>
      </c>
      <c r="C8" s="1" t="s">
        <v>29</v>
      </c>
      <c r="D8" s="1" t="s">
        <v>1525</v>
      </c>
      <c r="E8" s="1" t="s">
        <v>27</v>
      </c>
      <c r="F8" s="1" t="s">
        <v>37</v>
      </c>
      <c r="G8" s="1" t="s">
        <v>37</v>
      </c>
      <c r="H8" s="1"/>
      <c r="I8" s="1"/>
      <c r="J8" s="1" t="s">
        <v>19</v>
      </c>
      <c r="K8" s="1" t="s">
        <v>18</v>
      </c>
    </row>
    <row r="9" spans="1:11" x14ac:dyDescent="0.25">
      <c r="A9" s="1" t="s">
        <v>64</v>
      </c>
      <c r="B9" s="1" t="s">
        <v>65</v>
      </c>
      <c r="C9" s="1" t="s">
        <v>29</v>
      </c>
      <c r="D9" s="1" t="s">
        <v>1526</v>
      </c>
      <c r="E9" s="1" t="s">
        <v>27</v>
      </c>
      <c r="F9" s="1" t="s">
        <v>40</v>
      </c>
      <c r="G9" s="1" t="s">
        <v>40</v>
      </c>
      <c r="H9" s="1"/>
      <c r="I9" s="1"/>
      <c r="J9" s="1" t="s">
        <v>19</v>
      </c>
      <c r="K9" s="1" t="s">
        <v>18</v>
      </c>
    </row>
    <row r="10" spans="1:11" x14ac:dyDescent="0.25">
      <c r="A10" s="1" t="s">
        <v>66</v>
      </c>
      <c r="B10" s="1" t="s">
        <v>67</v>
      </c>
      <c r="C10" s="1" t="s">
        <v>30</v>
      </c>
      <c r="D10" s="1" t="s">
        <v>1527</v>
      </c>
      <c r="E10" s="1" t="s">
        <v>27</v>
      </c>
      <c r="F10" s="1" t="s">
        <v>40</v>
      </c>
      <c r="G10" s="1" t="s">
        <v>40</v>
      </c>
      <c r="H10" s="1"/>
      <c r="I10" s="1"/>
      <c r="J10" s="1" t="s">
        <v>19</v>
      </c>
      <c r="K10" s="1" t="s">
        <v>18</v>
      </c>
    </row>
    <row r="11" spans="1:11" x14ac:dyDescent="0.25">
      <c r="A11" s="1" t="s">
        <v>68</v>
      </c>
      <c r="B11" s="1" t="s">
        <v>69</v>
      </c>
      <c r="C11" s="1" t="s">
        <v>70</v>
      </c>
      <c r="D11" s="1" t="s">
        <v>1528</v>
      </c>
      <c r="E11" s="1" t="s">
        <v>27</v>
      </c>
      <c r="F11" s="1" t="s">
        <v>40</v>
      </c>
      <c r="G11" s="1" t="s">
        <v>40</v>
      </c>
      <c r="H11" s="1"/>
      <c r="I11" s="1"/>
      <c r="J11" s="1" t="s">
        <v>19</v>
      </c>
      <c r="K11" s="1" t="s">
        <v>18</v>
      </c>
    </row>
    <row r="12" spans="1:11" x14ac:dyDescent="0.25">
      <c r="A12" s="1" t="s">
        <v>71</v>
      </c>
      <c r="B12" s="1" t="s">
        <v>72</v>
      </c>
      <c r="C12" s="1" t="s">
        <v>73</v>
      </c>
      <c r="D12" s="1" t="s">
        <v>1529</v>
      </c>
      <c r="E12" s="1" t="s">
        <v>74</v>
      </c>
      <c r="F12" s="1" t="s">
        <v>75</v>
      </c>
      <c r="G12" s="1" t="s">
        <v>75</v>
      </c>
      <c r="H12" s="1"/>
      <c r="I12" s="1" t="s">
        <v>10</v>
      </c>
      <c r="J12" s="1" t="s">
        <v>19</v>
      </c>
      <c r="K12" s="1" t="s">
        <v>18</v>
      </c>
    </row>
    <row r="13" spans="1:11" x14ac:dyDescent="0.25">
      <c r="A13" s="1" t="s">
        <v>76</v>
      </c>
      <c r="B13" s="1" t="s">
        <v>77</v>
      </c>
      <c r="C13" s="1" t="s">
        <v>73</v>
      </c>
      <c r="D13" s="1" t="s">
        <v>1530</v>
      </c>
      <c r="E13" s="1" t="s">
        <v>74</v>
      </c>
      <c r="F13" s="1" t="s">
        <v>75</v>
      </c>
      <c r="G13" s="1" t="s">
        <v>75</v>
      </c>
      <c r="H13" s="1"/>
      <c r="I13" s="1" t="s">
        <v>10</v>
      </c>
      <c r="J13" s="1" t="s">
        <v>19</v>
      </c>
      <c r="K13" s="1" t="s">
        <v>18</v>
      </c>
    </row>
    <row r="14" spans="1:11" x14ac:dyDescent="0.25">
      <c r="A14" s="1" t="s">
        <v>78</v>
      </c>
      <c r="B14" s="1" t="s">
        <v>79</v>
      </c>
      <c r="C14" s="1" t="s">
        <v>73</v>
      </c>
      <c r="D14" s="1" t="s">
        <v>1531</v>
      </c>
      <c r="E14" s="1" t="s">
        <v>74</v>
      </c>
      <c r="F14" s="1" t="s">
        <v>75</v>
      </c>
      <c r="G14" s="1" t="s">
        <v>75</v>
      </c>
      <c r="H14" s="1"/>
      <c r="I14" s="1" t="s">
        <v>10</v>
      </c>
      <c r="J14" s="1" t="s">
        <v>19</v>
      </c>
      <c r="K14" s="1" t="s">
        <v>18</v>
      </c>
    </row>
    <row r="15" spans="1:11" x14ac:dyDescent="0.25">
      <c r="A15" s="1" t="s">
        <v>80</v>
      </c>
      <c r="B15" s="1" t="s">
        <v>81</v>
      </c>
      <c r="C15" s="1" t="s">
        <v>73</v>
      </c>
      <c r="D15" s="1" t="s">
        <v>495</v>
      </c>
      <c r="E15" s="1" t="s">
        <v>74</v>
      </c>
      <c r="F15" s="1" t="s">
        <v>75</v>
      </c>
      <c r="G15" s="1" t="s">
        <v>75</v>
      </c>
      <c r="H15" s="1"/>
      <c r="I15" s="1" t="s">
        <v>10</v>
      </c>
      <c r="J15" s="1" t="s">
        <v>19</v>
      </c>
      <c r="K15" s="1" t="s">
        <v>18</v>
      </c>
    </row>
    <row r="16" spans="1:11" x14ac:dyDescent="0.25">
      <c r="A16" s="1" t="s">
        <v>82</v>
      </c>
      <c r="B16" s="1" t="s">
        <v>83</v>
      </c>
      <c r="C16" s="1" t="s">
        <v>73</v>
      </c>
      <c r="D16" s="1" t="s">
        <v>1532</v>
      </c>
      <c r="E16" s="1" t="s">
        <v>74</v>
      </c>
      <c r="F16" s="1" t="s">
        <v>75</v>
      </c>
      <c r="G16" s="1" t="s">
        <v>75</v>
      </c>
      <c r="H16" s="1"/>
      <c r="I16" s="1" t="s">
        <v>10</v>
      </c>
      <c r="J16" s="1" t="s">
        <v>19</v>
      </c>
      <c r="K16" s="1" t="s">
        <v>18</v>
      </c>
    </row>
    <row r="17" spans="1:11" x14ac:dyDescent="0.25">
      <c r="A17" s="1" t="s">
        <v>84</v>
      </c>
      <c r="B17" s="1" t="s">
        <v>85</v>
      </c>
      <c r="C17" s="1" t="s">
        <v>73</v>
      </c>
      <c r="D17" s="1" t="s">
        <v>86</v>
      </c>
      <c r="E17" s="1" t="s">
        <v>74</v>
      </c>
      <c r="F17" s="1" t="s">
        <v>75</v>
      </c>
      <c r="G17" s="1" t="s">
        <v>75</v>
      </c>
      <c r="H17" s="1"/>
      <c r="I17" s="1" t="s">
        <v>10</v>
      </c>
      <c r="J17" s="1" t="s">
        <v>19</v>
      </c>
      <c r="K17" s="1" t="s">
        <v>18</v>
      </c>
    </row>
    <row r="18" spans="1:11" x14ac:dyDescent="0.25">
      <c r="A18" s="1" t="s">
        <v>87</v>
      </c>
      <c r="B18" s="1" t="s">
        <v>88</v>
      </c>
      <c r="C18" s="1" t="s">
        <v>73</v>
      </c>
      <c r="D18" s="1" t="s">
        <v>1533</v>
      </c>
      <c r="E18" s="1" t="s">
        <v>74</v>
      </c>
      <c r="F18" s="1" t="s">
        <v>75</v>
      </c>
      <c r="G18" s="1" t="s">
        <v>75</v>
      </c>
      <c r="H18" s="1"/>
      <c r="I18" s="1" t="s">
        <v>10</v>
      </c>
      <c r="J18" s="1" t="s">
        <v>19</v>
      </c>
      <c r="K18" s="1" t="s">
        <v>18</v>
      </c>
    </row>
    <row r="19" spans="1:11" x14ac:dyDescent="0.25">
      <c r="A19" s="1" t="s">
        <v>89</v>
      </c>
      <c r="B19" s="1" t="s">
        <v>90</v>
      </c>
      <c r="C19" s="1" t="s">
        <v>73</v>
      </c>
      <c r="D19" s="1" t="s">
        <v>104</v>
      </c>
      <c r="E19" s="1" t="s">
        <v>74</v>
      </c>
      <c r="F19" s="1" t="s">
        <v>75</v>
      </c>
      <c r="G19" s="1" t="s">
        <v>75</v>
      </c>
      <c r="H19" s="1"/>
      <c r="I19" s="1" t="s">
        <v>10</v>
      </c>
      <c r="J19" s="1" t="s">
        <v>19</v>
      </c>
      <c r="K19" s="1" t="s">
        <v>18</v>
      </c>
    </row>
    <row r="20" spans="1:11" x14ac:dyDescent="0.25">
      <c r="A20" s="1" t="s">
        <v>91</v>
      </c>
      <c r="B20" s="1" t="s">
        <v>92</v>
      </c>
      <c r="C20" s="1" t="s">
        <v>73</v>
      </c>
      <c r="D20" s="1" t="s">
        <v>1530</v>
      </c>
      <c r="E20" s="1" t="s">
        <v>74</v>
      </c>
      <c r="F20" s="1" t="s">
        <v>75</v>
      </c>
      <c r="G20" s="1" t="s">
        <v>75</v>
      </c>
      <c r="H20" s="1"/>
      <c r="I20" s="1" t="s">
        <v>10</v>
      </c>
      <c r="J20" s="1" t="s">
        <v>19</v>
      </c>
      <c r="K20" s="1" t="s">
        <v>18</v>
      </c>
    </row>
    <row r="21" spans="1:11" x14ac:dyDescent="0.25">
      <c r="A21" s="1" t="s">
        <v>93</v>
      </c>
      <c r="B21" s="1" t="s">
        <v>94</v>
      </c>
      <c r="C21" s="1" t="s">
        <v>73</v>
      </c>
      <c r="D21" s="1" t="s">
        <v>1534</v>
      </c>
      <c r="E21" s="1" t="s">
        <v>74</v>
      </c>
      <c r="F21" s="1" t="s">
        <v>75</v>
      </c>
      <c r="G21" s="1" t="s">
        <v>75</v>
      </c>
      <c r="H21" s="1"/>
      <c r="I21" s="1" t="s">
        <v>10</v>
      </c>
      <c r="J21" s="1" t="s">
        <v>19</v>
      </c>
      <c r="K21" s="1" t="s">
        <v>18</v>
      </c>
    </row>
    <row r="22" spans="1:11" x14ac:dyDescent="0.25">
      <c r="A22" s="1" t="s">
        <v>95</v>
      </c>
      <c r="B22" s="1" t="s">
        <v>96</v>
      </c>
      <c r="C22" s="1" t="s">
        <v>97</v>
      </c>
      <c r="D22" s="1" t="s">
        <v>1535</v>
      </c>
      <c r="E22" s="1" t="s">
        <v>32</v>
      </c>
      <c r="F22" s="1" t="s">
        <v>98</v>
      </c>
      <c r="G22" s="1" t="s">
        <v>98</v>
      </c>
      <c r="H22" s="1"/>
      <c r="I22" s="1" t="s">
        <v>10</v>
      </c>
      <c r="J22" s="1" t="s">
        <v>19</v>
      </c>
      <c r="K22" s="1" t="s">
        <v>18</v>
      </c>
    </row>
    <row r="23" spans="1:11" x14ac:dyDescent="0.25">
      <c r="A23" s="1" t="s">
        <v>99</v>
      </c>
      <c r="B23" s="1" t="s">
        <v>100</v>
      </c>
      <c r="C23" s="1" t="s">
        <v>50</v>
      </c>
      <c r="D23" s="1" t="s">
        <v>1536</v>
      </c>
      <c r="E23" s="1" t="s">
        <v>32</v>
      </c>
      <c r="F23" s="1" t="s">
        <v>40</v>
      </c>
      <c r="G23" s="1" t="s">
        <v>40</v>
      </c>
      <c r="H23" s="1"/>
      <c r="I23" s="1" t="s">
        <v>10</v>
      </c>
      <c r="J23" s="1" t="s">
        <v>19</v>
      </c>
      <c r="K23" s="1" t="s">
        <v>18</v>
      </c>
    </row>
    <row r="24" spans="1:11" x14ac:dyDescent="0.25">
      <c r="A24" s="1" t="s">
        <v>102</v>
      </c>
      <c r="B24" s="1" t="s">
        <v>103</v>
      </c>
      <c r="C24" s="1" t="s">
        <v>222</v>
      </c>
      <c r="D24" s="1" t="s">
        <v>1537</v>
      </c>
      <c r="E24" s="1" t="s">
        <v>32</v>
      </c>
      <c r="F24" s="1" t="s">
        <v>98</v>
      </c>
      <c r="G24" s="1" t="s">
        <v>98</v>
      </c>
      <c r="H24" s="1"/>
      <c r="I24" s="1" t="s">
        <v>10</v>
      </c>
      <c r="J24" s="1" t="s">
        <v>19</v>
      </c>
      <c r="K24" s="1" t="s">
        <v>18</v>
      </c>
    </row>
    <row r="25" spans="1:11" x14ac:dyDescent="0.25">
      <c r="A25" s="1" t="s">
        <v>105</v>
      </c>
      <c r="B25" s="1" t="s">
        <v>106</v>
      </c>
      <c r="C25" s="1" t="s">
        <v>11</v>
      </c>
      <c r="D25" s="1" t="s">
        <v>1538</v>
      </c>
      <c r="E25" s="1" t="s">
        <v>32</v>
      </c>
      <c r="F25" s="1" t="s">
        <v>98</v>
      </c>
      <c r="G25" s="1" t="s">
        <v>98</v>
      </c>
      <c r="H25" s="1"/>
      <c r="I25" s="1" t="s">
        <v>10</v>
      </c>
      <c r="J25" s="1" t="s">
        <v>19</v>
      </c>
      <c r="K25" s="1" t="s">
        <v>18</v>
      </c>
    </row>
    <row r="26" spans="1:11" x14ac:dyDescent="0.25">
      <c r="A26" s="1" t="s">
        <v>107</v>
      </c>
      <c r="B26" s="1" t="s">
        <v>108</v>
      </c>
      <c r="C26" s="1" t="s">
        <v>336</v>
      </c>
      <c r="D26" s="1" t="s">
        <v>1539</v>
      </c>
      <c r="E26" s="1" t="s">
        <v>32</v>
      </c>
      <c r="F26" s="1" t="s">
        <v>98</v>
      </c>
      <c r="G26" s="1" t="s">
        <v>98</v>
      </c>
      <c r="H26" s="1"/>
      <c r="I26" s="1" t="s">
        <v>10</v>
      </c>
      <c r="J26" s="1" t="s">
        <v>19</v>
      </c>
      <c r="K26" s="1" t="s">
        <v>18</v>
      </c>
    </row>
    <row r="27" spans="1:11" x14ac:dyDescent="0.25">
      <c r="A27" s="1" t="s">
        <v>110</v>
      </c>
      <c r="B27" s="1" t="s">
        <v>111</v>
      </c>
      <c r="C27" s="1" t="s">
        <v>11</v>
      </c>
      <c r="D27" s="1" t="s">
        <v>1087</v>
      </c>
      <c r="E27" s="1" t="s">
        <v>32</v>
      </c>
      <c r="F27" s="1" t="s">
        <v>98</v>
      </c>
      <c r="G27" s="1" t="s">
        <v>98</v>
      </c>
      <c r="H27" s="1"/>
      <c r="I27" s="1" t="s">
        <v>10</v>
      </c>
      <c r="J27" s="1" t="s">
        <v>19</v>
      </c>
      <c r="K27" s="1" t="s">
        <v>18</v>
      </c>
    </row>
    <row r="28" spans="1:11" x14ac:dyDescent="0.25">
      <c r="A28" s="1" t="s">
        <v>112</v>
      </c>
      <c r="B28" s="1" t="s">
        <v>113</v>
      </c>
      <c r="C28" s="1" t="s">
        <v>97</v>
      </c>
      <c r="D28" s="1" t="s">
        <v>1540</v>
      </c>
      <c r="E28" s="1" t="s">
        <v>32</v>
      </c>
      <c r="F28" s="1" t="s">
        <v>98</v>
      </c>
      <c r="G28" s="1" t="s">
        <v>98</v>
      </c>
      <c r="H28" s="1"/>
      <c r="I28" s="1" t="s">
        <v>10</v>
      </c>
      <c r="J28" s="1" t="s">
        <v>19</v>
      </c>
      <c r="K28" s="1" t="s">
        <v>18</v>
      </c>
    </row>
    <row r="29" spans="1:11" x14ac:dyDescent="0.25">
      <c r="A29" s="1" t="s">
        <v>114</v>
      </c>
      <c r="B29" s="1" t="s">
        <v>115</v>
      </c>
      <c r="C29" s="1" t="s">
        <v>109</v>
      </c>
      <c r="D29" s="1" t="s">
        <v>1529</v>
      </c>
      <c r="E29" s="1" t="s">
        <v>32</v>
      </c>
      <c r="F29" s="1" t="s">
        <v>98</v>
      </c>
      <c r="G29" s="1" t="s">
        <v>98</v>
      </c>
      <c r="H29" s="1"/>
      <c r="I29" s="1" t="s">
        <v>10</v>
      </c>
      <c r="J29" s="1" t="s">
        <v>19</v>
      </c>
      <c r="K29" s="1" t="s">
        <v>18</v>
      </c>
    </row>
    <row r="30" spans="1:11" x14ac:dyDescent="0.25">
      <c r="A30" s="1" t="s">
        <v>116</v>
      </c>
      <c r="B30" s="1" t="s">
        <v>117</v>
      </c>
      <c r="C30" s="1" t="s">
        <v>70</v>
      </c>
      <c r="D30" s="1" t="s">
        <v>1541</v>
      </c>
      <c r="E30" s="1" t="s">
        <v>32</v>
      </c>
      <c r="F30" s="1" t="s">
        <v>98</v>
      </c>
      <c r="G30" s="1" t="s">
        <v>98</v>
      </c>
      <c r="H30" s="1"/>
      <c r="I30" s="1" t="s">
        <v>10</v>
      </c>
      <c r="J30" s="1" t="s">
        <v>19</v>
      </c>
      <c r="K30" s="1" t="s">
        <v>18</v>
      </c>
    </row>
    <row r="31" spans="1:11" x14ac:dyDescent="0.25">
      <c r="A31" s="1" t="s">
        <v>118</v>
      </c>
      <c r="B31" s="1" t="s">
        <v>119</v>
      </c>
      <c r="C31" s="1" t="s">
        <v>97</v>
      </c>
      <c r="D31" s="1" t="s">
        <v>1529</v>
      </c>
      <c r="E31" s="1" t="s">
        <v>32</v>
      </c>
      <c r="F31" s="1" t="s">
        <v>98</v>
      </c>
      <c r="G31" s="1" t="s">
        <v>98</v>
      </c>
      <c r="H31" s="1"/>
      <c r="I31" s="1" t="s">
        <v>10</v>
      </c>
      <c r="J31" s="1" t="s">
        <v>19</v>
      </c>
      <c r="K31" s="1" t="s">
        <v>18</v>
      </c>
    </row>
    <row r="32" spans="1:11" x14ac:dyDescent="0.25">
      <c r="A32" s="1" t="s">
        <v>120</v>
      </c>
      <c r="B32" s="1" t="s">
        <v>121</v>
      </c>
      <c r="C32" s="1" t="s">
        <v>11</v>
      </c>
      <c r="D32" s="1" t="s">
        <v>1542</v>
      </c>
      <c r="E32" s="1" t="s">
        <v>32</v>
      </c>
      <c r="F32" s="1" t="s">
        <v>98</v>
      </c>
      <c r="G32" s="1" t="s">
        <v>98</v>
      </c>
      <c r="H32" s="1"/>
      <c r="I32" s="1" t="s">
        <v>10</v>
      </c>
      <c r="J32" s="1" t="s">
        <v>19</v>
      </c>
      <c r="K32" s="1" t="s">
        <v>18</v>
      </c>
    </row>
    <row r="33" spans="1:11" x14ac:dyDescent="0.25">
      <c r="A33" s="1" t="s">
        <v>122</v>
      </c>
      <c r="B33" s="1" t="s">
        <v>123</v>
      </c>
      <c r="C33" s="1" t="s">
        <v>97</v>
      </c>
      <c r="D33" s="1" t="s">
        <v>1216</v>
      </c>
      <c r="E33" s="1" t="s">
        <v>32</v>
      </c>
      <c r="F33" s="1" t="s">
        <v>98</v>
      </c>
      <c r="G33" s="1" t="s">
        <v>98</v>
      </c>
      <c r="H33" s="1"/>
      <c r="I33" s="1" t="s">
        <v>10</v>
      </c>
      <c r="J33" s="1" t="s">
        <v>19</v>
      </c>
      <c r="K33" s="1" t="s">
        <v>18</v>
      </c>
    </row>
    <row r="34" spans="1:11" x14ac:dyDescent="0.25">
      <c r="A34" s="1" t="s">
        <v>124</v>
      </c>
      <c r="B34" s="1" t="s">
        <v>125</v>
      </c>
      <c r="C34" s="1" t="s">
        <v>97</v>
      </c>
      <c r="D34" s="1" t="s">
        <v>1543</v>
      </c>
      <c r="E34" s="1" t="s">
        <v>32</v>
      </c>
      <c r="F34" s="1" t="s">
        <v>98</v>
      </c>
      <c r="G34" s="1" t="s">
        <v>98</v>
      </c>
      <c r="H34" s="1"/>
      <c r="I34" s="1" t="s">
        <v>10</v>
      </c>
      <c r="J34" s="1" t="s">
        <v>19</v>
      </c>
      <c r="K34" s="1" t="s">
        <v>18</v>
      </c>
    </row>
    <row r="35" spans="1:11" x14ac:dyDescent="0.25">
      <c r="A35" s="1" t="s">
        <v>126</v>
      </c>
      <c r="B35" s="1" t="s">
        <v>127</v>
      </c>
      <c r="C35" s="1" t="s">
        <v>415</v>
      </c>
      <c r="D35" s="1" t="s">
        <v>1544</v>
      </c>
      <c r="E35" s="1" t="s">
        <v>32</v>
      </c>
      <c r="F35" s="1" t="s">
        <v>98</v>
      </c>
      <c r="G35" s="1" t="s">
        <v>98</v>
      </c>
      <c r="H35" s="1"/>
      <c r="I35" s="1" t="s">
        <v>10</v>
      </c>
      <c r="J35" s="1" t="s">
        <v>19</v>
      </c>
      <c r="K35" s="1" t="s">
        <v>18</v>
      </c>
    </row>
    <row r="36" spans="1:11" x14ac:dyDescent="0.25">
      <c r="A36" s="1" t="s">
        <v>129</v>
      </c>
      <c r="B36" s="1" t="s">
        <v>130</v>
      </c>
      <c r="C36" s="1" t="s">
        <v>11</v>
      </c>
      <c r="D36" s="1" t="s">
        <v>1545</v>
      </c>
      <c r="E36" s="1" t="s">
        <v>32</v>
      </c>
      <c r="F36" s="1" t="s">
        <v>98</v>
      </c>
      <c r="G36" s="1" t="s">
        <v>98</v>
      </c>
      <c r="H36" s="1"/>
      <c r="I36" s="1" t="s">
        <v>10</v>
      </c>
      <c r="J36" s="1" t="s">
        <v>19</v>
      </c>
      <c r="K36" s="1" t="s">
        <v>18</v>
      </c>
    </row>
    <row r="37" spans="1:11" x14ac:dyDescent="0.25">
      <c r="A37" s="1" t="s">
        <v>131</v>
      </c>
      <c r="B37" s="1" t="s">
        <v>132</v>
      </c>
      <c r="C37" s="1" t="s">
        <v>149</v>
      </c>
      <c r="D37" s="1" t="s">
        <v>1546</v>
      </c>
      <c r="E37" s="1" t="s">
        <v>32</v>
      </c>
      <c r="F37" s="1" t="s">
        <v>134</v>
      </c>
      <c r="G37" s="1" t="s">
        <v>134</v>
      </c>
      <c r="H37" s="1"/>
      <c r="I37" s="1" t="s">
        <v>10</v>
      </c>
      <c r="J37" s="1" t="s">
        <v>19</v>
      </c>
      <c r="K37" s="1" t="s">
        <v>18</v>
      </c>
    </row>
    <row r="38" spans="1:11" x14ac:dyDescent="0.25">
      <c r="A38" s="1" t="s">
        <v>135</v>
      </c>
      <c r="B38" s="1" t="s">
        <v>136</v>
      </c>
      <c r="C38" s="1" t="s">
        <v>1547</v>
      </c>
      <c r="D38" s="1" t="s">
        <v>1548</v>
      </c>
      <c r="E38" s="1" t="s">
        <v>32</v>
      </c>
      <c r="F38" s="1" t="s">
        <v>40</v>
      </c>
      <c r="G38" s="1" t="s">
        <v>40</v>
      </c>
      <c r="H38" s="1"/>
      <c r="I38" s="1" t="s">
        <v>10</v>
      </c>
      <c r="J38" s="1" t="s">
        <v>19</v>
      </c>
      <c r="K38" s="1" t="s">
        <v>18</v>
      </c>
    </row>
    <row r="39" spans="1:11" x14ac:dyDescent="0.25">
      <c r="A39" s="1" t="s">
        <v>137</v>
      </c>
      <c r="B39" s="1" t="s">
        <v>138</v>
      </c>
      <c r="C39" s="1" t="s">
        <v>133</v>
      </c>
      <c r="D39" s="1" t="s">
        <v>1549</v>
      </c>
      <c r="E39" s="1" t="s">
        <v>32</v>
      </c>
      <c r="F39" s="1" t="s">
        <v>134</v>
      </c>
      <c r="G39" s="1" t="s">
        <v>134</v>
      </c>
      <c r="H39" s="1"/>
      <c r="I39" s="1" t="s">
        <v>10</v>
      </c>
      <c r="J39" s="1" t="s">
        <v>19</v>
      </c>
      <c r="K39" s="1" t="s">
        <v>18</v>
      </c>
    </row>
    <row r="40" spans="1:11" x14ac:dyDescent="0.25">
      <c r="A40" s="1" t="s">
        <v>139</v>
      </c>
      <c r="B40" s="1" t="s">
        <v>140</v>
      </c>
      <c r="C40" s="1" t="s">
        <v>43</v>
      </c>
      <c r="D40" s="1" t="s">
        <v>695</v>
      </c>
      <c r="E40" s="1" t="s">
        <v>32</v>
      </c>
      <c r="F40" s="1" t="s">
        <v>134</v>
      </c>
      <c r="G40" s="1" t="s">
        <v>134</v>
      </c>
      <c r="H40" s="1"/>
      <c r="I40" s="1" t="s">
        <v>10</v>
      </c>
      <c r="J40" s="1" t="s">
        <v>19</v>
      </c>
      <c r="K40" s="1" t="s">
        <v>18</v>
      </c>
    </row>
    <row r="41" spans="1:11" x14ac:dyDescent="0.25">
      <c r="A41" s="1" t="s">
        <v>142</v>
      </c>
      <c r="B41" s="1" t="s">
        <v>143</v>
      </c>
      <c r="C41" s="1" t="s">
        <v>133</v>
      </c>
      <c r="D41" s="1" t="s">
        <v>383</v>
      </c>
      <c r="E41" s="1" t="s">
        <v>32</v>
      </c>
      <c r="F41" s="1" t="s">
        <v>134</v>
      </c>
      <c r="G41" s="1" t="s">
        <v>134</v>
      </c>
      <c r="H41" s="1"/>
      <c r="I41" s="1" t="s">
        <v>10</v>
      </c>
      <c r="J41" s="1" t="s">
        <v>19</v>
      </c>
      <c r="K41" s="1" t="s">
        <v>18</v>
      </c>
    </row>
    <row r="42" spans="1:11" x14ac:dyDescent="0.25">
      <c r="A42" s="1" t="s">
        <v>144</v>
      </c>
      <c r="B42" s="1" t="s">
        <v>145</v>
      </c>
      <c r="C42" s="1" t="s">
        <v>133</v>
      </c>
      <c r="D42" s="1" t="s">
        <v>1550</v>
      </c>
      <c r="E42" s="1" t="s">
        <v>32</v>
      </c>
      <c r="F42" s="1" t="s">
        <v>134</v>
      </c>
      <c r="G42" s="1" t="s">
        <v>134</v>
      </c>
      <c r="H42" s="1"/>
      <c r="I42" s="1" t="s">
        <v>10</v>
      </c>
      <c r="J42" s="1" t="s">
        <v>19</v>
      </c>
      <c r="K42" s="1" t="s">
        <v>18</v>
      </c>
    </row>
    <row r="43" spans="1:11" x14ac:dyDescent="0.25">
      <c r="A43" s="1" t="s">
        <v>147</v>
      </c>
      <c r="B43" s="1" t="s">
        <v>148</v>
      </c>
      <c r="C43" s="1" t="s">
        <v>174</v>
      </c>
      <c r="D43" s="1" t="s">
        <v>1551</v>
      </c>
      <c r="E43" s="1" t="s">
        <v>32</v>
      </c>
      <c r="F43" s="1" t="s">
        <v>134</v>
      </c>
      <c r="G43" s="1" t="s">
        <v>134</v>
      </c>
      <c r="H43" s="1"/>
      <c r="I43" s="1" t="s">
        <v>10</v>
      </c>
      <c r="J43" s="1" t="s">
        <v>19</v>
      </c>
      <c r="K43" s="1" t="s">
        <v>18</v>
      </c>
    </row>
    <row r="44" spans="1:11" x14ac:dyDescent="0.25">
      <c r="A44" s="1" t="s">
        <v>150</v>
      </c>
      <c r="B44" s="1" t="s">
        <v>151</v>
      </c>
      <c r="C44" s="1" t="s">
        <v>149</v>
      </c>
      <c r="D44" s="1" t="s">
        <v>1552</v>
      </c>
      <c r="E44" s="1" t="s">
        <v>32</v>
      </c>
      <c r="F44" s="1" t="s">
        <v>134</v>
      </c>
      <c r="G44" s="1" t="s">
        <v>134</v>
      </c>
      <c r="H44" s="1"/>
      <c r="I44" s="1" t="s">
        <v>10</v>
      </c>
      <c r="J44" s="1" t="s">
        <v>19</v>
      </c>
      <c r="K44" s="1" t="s">
        <v>18</v>
      </c>
    </row>
    <row r="45" spans="1:11" x14ac:dyDescent="0.25">
      <c r="A45" s="1" t="s">
        <v>152</v>
      </c>
      <c r="B45" s="1" t="s">
        <v>153</v>
      </c>
      <c r="C45" s="1" t="s">
        <v>146</v>
      </c>
      <c r="D45" s="1" t="s">
        <v>1553</v>
      </c>
      <c r="E45" s="1" t="s">
        <v>32</v>
      </c>
      <c r="F45" s="1" t="s">
        <v>40</v>
      </c>
      <c r="G45" s="1" t="s">
        <v>40</v>
      </c>
      <c r="H45" s="1"/>
      <c r="I45" s="1" t="s">
        <v>10</v>
      </c>
      <c r="J45" s="1" t="s">
        <v>19</v>
      </c>
      <c r="K45" s="1" t="s">
        <v>18</v>
      </c>
    </row>
    <row r="46" spans="1:11" x14ac:dyDescent="0.25">
      <c r="A46" s="1" t="s">
        <v>154</v>
      </c>
      <c r="B46" s="1" t="s">
        <v>155</v>
      </c>
      <c r="C46" s="1" t="s">
        <v>156</v>
      </c>
      <c r="D46" s="1" t="s">
        <v>157</v>
      </c>
      <c r="E46" s="1" t="s">
        <v>32</v>
      </c>
      <c r="F46" s="1" t="s">
        <v>134</v>
      </c>
      <c r="G46" s="1" t="s">
        <v>134</v>
      </c>
      <c r="H46" s="1"/>
      <c r="I46" s="1" t="s">
        <v>10</v>
      </c>
      <c r="J46" s="1" t="s">
        <v>19</v>
      </c>
      <c r="K46" s="1" t="s">
        <v>18</v>
      </c>
    </row>
    <row r="47" spans="1:11" x14ac:dyDescent="0.25">
      <c r="A47" s="1" t="s">
        <v>158</v>
      </c>
      <c r="B47" s="1" t="s">
        <v>159</v>
      </c>
      <c r="C47" s="1" t="s">
        <v>146</v>
      </c>
      <c r="D47" s="1" t="s">
        <v>495</v>
      </c>
      <c r="E47" s="1" t="s">
        <v>32</v>
      </c>
      <c r="F47" s="1" t="s">
        <v>134</v>
      </c>
      <c r="G47" s="1" t="s">
        <v>134</v>
      </c>
      <c r="H47" s="1"/>
      <c r="I47" s="1" t="s">
        <v>10</v>
      </c>
      <c r="J47" s="1" t="s">
        <v>19</v>
      </c>
      <c r="K47" s="1" t="s">
        <v>18</v>
      </c>
    </row>
    <row r="48" spans="1:11" x14ac:dyDescent="0.25">
      <c r="A48" s="1" t="s">
        <v>160</v>
      </c>
      <c r="B48" s="1" t="s">
        <v>161</v>
      </c>
      <c r="C48" s="1" t="s">
        <v>149</v>
      </c>
      <c r="D48" s="1" t="s">
        <v>1554</v>
      </c>
      <c r="E48" s="1" t="s">
        <v>32</v>
      </c>
      <c r="F48" s="1" t="s">
        <v>134</v>
      </c>
      <c r="G48" s="1" t="s">
        <v>134</v>
      </c>
      <c r="H48" s="1"/>
      <c r="I48" s="1" t="s">
        <v>10</v>
      </c>
      <c r="J48" s="1" t="s">
        <v>19</v>
      </c>
      <c r="K48" s="1" t="s">
        <v>18</v>
      </c>
    </row>
    <row r="49" spans="1:11" x14ac:dyDescent="0.25">
      <c r="A49" s="1" t="s">
        <v>162</v>
      </c>
      <c r="B49" s="1" t="s">
        <v>163</v>
      </c>
      <c r="C49" s="1" t="s">
        <v>133</v>
      </c>
      <c r="D49" s="1" t="s">
        <v>1555</v>
      </c>
      <c r="E49" s="1" t="s">
        <v>32</v>
      </c>
      <c r="F49" s="1" t="s">
        <v>134</v>
      </c>
      <c r="G49" s="1" t="s">
        <v>134</v>
      </c>
      <c r="H49" s="1"/>
      <c r="I49" s="1" t="s">
        <v>10</v>
      </c>
      <c r="J49" s="1" t="s">
        <v>19</v>
      </c>
      <c r="K49" s="1" t="s">
        <v>18</v>
      </c>
    </row>
    <row r="50" spans="1:11" x14ac:dyDescent="0.25">
      <c r="A50" s="1" t="s">
        <v>164</v>
      </c>
      <c r="B50" s="1" t="s">
        <v>165</v>
      </c>
      <c r="C50" s="1" t="s">
        <v>133</v>
      </c>
      <c r="D50" s="1" t="s">
        <v>1556</v>
      </c>
      <c r="E50" s="1" t="s">
        <v>32</v>
      </c>
      <c r="F50" s="1" t="s">
        <v>134</v>
      </c>
      <c r="G50" s="1" t="s">
        <v>134</v>
      </c>
      <c r="H50" s="1"/>
      <c r="I50" s="1" t="s">
        <v>10</v>
      </c>
      <c r="J50" s="1" t="s">
        <v>19</v>
      </c>
      <c r="K50" s="1" t="s">
        <v>18</v>
      </c>
    </row>
    <row r="51" spans="1:11" x14ac:dyDescent="0.25">
      <c r="A51" s="1" t="s">
        <v>166</v>
      </c>
      <c r="B51" s="1" t="s">
        <v>167</v>
      </c>
      <c r="C51" s="1" t="s">
        <v>133</v>
      </c>
      <c r="D51" s="1" t="s">
        <v>1557</v>
      </c>
      <c r="E51" s="1" t="s">
        <v>32</v>
      </c>
      <c r="F51" s="1" t="s">
        <v>40</v>
      </c>
      <c r="G51" s="1" t="s">
        <v>40</v>
      </c>
      <c r="H51" s="1"/>
      <c r="I51" s="1" t="s">
        <v>10</v>
      </c>
      <c r="J51" s="1" t="s">
        <v>19</v>
      </c>
      <c r="K51" s="1" t="s">
        <v>18</v>
      </c>
    </row>
    <row r="52" spans="1:11" x14ac:dyDescent="0.25">
      <c r="A52" s="1" t="s">
        <v>168</v>
      </c>
      <c r="B52" s="1" t="s">
        <v>169</v>
      </c>
      <c r="C52" s="1" t="s">
        <v>133</v>
      </c>
      <c r="D52" s="1" t="s">
        <v>1558</v>
      </c>
      <c r="E52" s="1" t="s">
        <v>32</v>
      </c>
      <c r="F52" s="1" t="s">
        <v>134</v>
      </c>
      <c r="G52" s="1" t="s">
        <v>134</v>
      </c>
      <c r="H52" s="1"/>
      <c r="I52" s="1" t="s">
        <v>10</v>
      </c>
      <c r="J52" s="1" t="s">
        <v>19</v>
      </c>
      <c r="K52" s="1" t="s">
        <v>18</v>
      </c>
    </row>
    <row r="53" spans="1:11" x14ac:dyDescent="0.25">
      <c r="A53" s="1" t="s">
        <v>170</v>
      </c>
      <c r="B53" s="1" t="s">
        <v>171</v>
      </c>
      <c r="C53" s="1" t="s">
        <v>133</v>
      </c>
      <c r="D53" s="1" t="s">
        <v>1530</v>
      </c>
      <c r="E53" s="1" t="s">
        <v>32</v>
      </c>
      <c r="F53" s="1" t="s">
        <v>134</v>
      </c>
      <c r="G53" s="1" t="s">
        <v>134</v>
      </c>
      <c r="H53" s="1"/>
      <c r="I53" s="1" t="s">
        <v>10</v>
      </c>
      <c r="J53" s="1" t="s">
        <v>19</v>
      </c>
      <c r="K53" s="1" t="s">
        <v>18</v>
      </c>
    </row>
    <row r="54" spans="1:11" x14ac:dyDescent="0.25">
      <c r="A54" s="1" t="s">
        <v>172</v>
      </c>
      <c r="B54" s="1" t="s">
        <v>173</v>
      </c>
      <c r="C54" s="1" t="s">
        <v>133</v>
      </c>
      <c r="D54" s="1" t="s">
        <v>1559</v>
      </c>
      <c r="E54" s="1" t="s">
        <v>32</v>
      </c>
      <c r="F54" s="1" t="s">
        <v>134</v>
      </c>
      <c r="G54" s="1" t="s">
        <v>134</v>
      </c>
      <c r="H54" s="1"/>
      <c r="I54" s="1" t="s">
        <v>10</v>
      </c>
      <c r="J54" s="1" t="s">
        <v>19</v>
      </c>
      <c r="K54" s="1" t="s">
        <v>18</v>
      </c>
    </row>
    <row r="55" spans="1:11" x14ac:dyDescent="0.25">
      <c r="A55" s="1" t="s">
        <v>175</v>
      </c>
      <c r="B55" s="1" t="s">
        <v>176</v>
      </c>
      <c r="C55" s="1" t="s">
        <v>133</v>
      </c>
      <c r="D55" s="1" t="s">
        <v>1560</v>
      </c>
      <c r="E55" s="1" t="s">
        <v>32</v>
      </c>
      <c r="F55" s="1" t="s">
        <v>134</v>
      </c>
      <c r="G55" s="1" t="s">
        <v>134</v>
      </c>
      <c r="H55" s="1"/>
      <c r="I55" s="1" t="s">
        <v>10</v>
      </c>
      <c r="J55" s="1" t="s">
        <v>19</v>
      </c>
      <c r="K55" s="1" t="s">
        <v>18</v>
      </c>
    </row>
    <row r="56" spans="1:11" x14ac:dyDescent="0.25">
      <c r="A56" s="1" t="s">
        <v>177</v>
      </c>
      <c r="B56" s="1" t="s">
        <v>178</v>
      </c>
      <c r="C56" s="1" t="s">
        <v>1561</v>
      </c>
      <c r="D56" s="1" t="s">
        <v>1562</v>
      </c>
      <c r="E56" s="1" t="s">
        <v>32</v>
      </c>
      <c r="F56" s="1" t="s">
        <v>134</v>
      </c>
      <c r="G56" s="1" t="s">
        <v>134</v>
      </c>
      <c r="H56" s="1"/>
      <c r="I56" s="1" t="s">
        <v>10</v>
      </c>
      <c r="J56" s="1" t="s">
        <v>19</v>
      </c>
      <c r="K56" s="1" t="s">
        <v>18</v>
      </c>
    </row>
    <row r="57" spans="1:11" x14ac:dyDescent="0.25">
      <c r="A57" s="1" t="s">
        <v>179</v>
      </c>
      <c r="B57" s="1" t="s">
        <v>180</v>
      </c>
      <c r="C57" s="1" t="s">
        <v>133</v>
      </c>
      <c r="D57" s="1" t="s">
        <v>1563</v>
      </c>
      <c r="E57" s="1" t="s">
        <v>32</v>
      </c>
      <c r="F57" s="1" t="s">
        <v>134</v>
      </c>
      <c r="G57" s="1" t="s">
        <v>134</v>
      </c>
      <c r="H57" s="1"/>
      <c r="I57" s="1" t="s">
        <v>10</v>
      </c>
      <c r="J57" s="1" t="s">
        <v>19</v>
      </c>
      <c r="K57" s="1" t="s">
        <v>18</v>
      </c>
    </row>
    <row r="58" spans="1:11" x14ac:dyDescent="0.25">
      <c r="A58" s="1" t="s">
        <v>181</v>
      </c>
      <c r="B58" s="1" t="s">
        <v>182</v>
      </c>
      <c r="C58" s="1" t="s">
        <v>183</v>
      </c>
      <c r="D58" s="1" t="s">
        <v>345</v>
      </c>
      <c r="E58" s="1" t="s">
        <v>32</v>
      </c>
      <c r="F58" s="1" t="s">
        <v>184</v>
      </c>
      <c r="G58" s="1" t="s">
        <v>184</v>
      </c>
      <c r="H58" s="1"/>
      <c r="I58" s="1" t="s">
        <v>10</v>
      </c>
      <c r="J58" s="1" t="s">
        <v>19</v>
      </c>
      <c r="K58" s="1" t="s">
        <v>18</v>
      </c>
    </row>
    <row r="59" spans="1:11" x14ac:dyDescent="0.25">
      <c r="A59" s="1" t="s">
        <v>185</v>
      </c>
      <c r="B59" s="1" t="s">
        <v>186</v>
      </c>
      <c r="C59" s="1" t="s">
        <v>183</v>
      </c>
      <c r="D59" s="1" t="s">
        <v>1087</v>
      </c>
      <c r="E59" s="1" t="s">
        <v>32</v>
      </c>
      <c r="F59" s="1" t="s">
        <v>184</v>
      </c>
      <c r="G59" s="1" t="s">
        <v>184</v>
      </c>
      <c r="H59" s="1"/>
      <c r="I59" s="1" t="s">
        <v>10</v>
      </c>
      <c r="J59" s="1" t="s">
        <v>19</v>
      </c>
      <c r="K59" s="1" t="s">
        <v>18</v>
      </c>
    </row>
    <row r="60" spans="1:11" x14ac:dyDescent="0.25">
      <c r="A60" s="1" t="s">
        <v>187</v>
      </c>
      <c r="B60" s="1" t="s">
        <v>188</v>
      </c>
      <c r="C60" s="1" t="s">
        <v>183</v>
      </c>
      <c r="D60" s="1" t="s">
        <v>1564</v>
      </c>
      <c r="E60" s="1" t="s">
        <v>32</v>
      </c>
      <c r="F60" s="1" t="s">
        <v>184</v>
      </c>
      <c r="G60" s="1" t="s">
        <v>184</v>
      </c>
      <c r="H60" s="1"/>
      <c r="I60" s="1" t="s">
        <v>10</v>
      </c>
      <c r="J60" s="1" t="s">
        <v>19</v>
      </c>
      <c r="K60" s="1" t="s">
        <v>18</v>
      </c>
    </row>
    <row r="61" spans="1:11" x14ac:dyDescent="0.25">
      <c r="A61" s="1" t="s">
        <v>189</v>
      </c>
      <c r="B61" s="1" t="s">
        <v>190</v>
      </c>
      <c r="C61" s="1" t="s">
        <v>1</v>
      </c>
      <c r="D61" s="1" t="s">
        <v>1565</v>
      </c>
      <c r="E61" s="1" t="s">
        <v>32</v>
      </c>
      <c r="F61" s="1" t="s">
        <v>184</v>
      </c>
      <c r="G61" s="1" t="s">
        <v>184</v>
      </c>
      <c r="H61" s="1"/>
      <c r="I61" s="1" t="s">
        <v>10</v>
      </c>
      <c r="J61" s="1" t="s">
        <v>19</v>
      </c>
      <c r="K61" s="1" t="s">
        <v>18</v>
      </c>
    </row>
    <row r="62" spans="1:11" x14ac:dyDescent="0.25">
      <c r="A62" s="1" t="s">
        <v>191</v>
      </c>
      <c r="B62" s="1" t="s">
        <v>192</v>
      </c>
      <c r="C62" s="1" t="s">
        <v>1</v>
      </c>
      <c r="D62" s="1" t="s">
        <v>1566</v>
      </c>
      <c r="E62" s="1" t="s">
        <v>32</v>
      </c>
      <c r="F62" s="1" t="s">
        <v>184</v>
      </c>
      <c r="G62" s="1" t="s">
        <v>184</v>
      </c>
      <c r="H62" s="1"/>
      <c r="I62" s="1" t="s">
        <v>10</v>
      </c>
      <c r="J62" s="1" t="s">
        <v>19</v>
      </c>
      <c r="K62" s="1" t="s">
        <v>18</v>
      </c>
    </row>
    <row r="63" spans="1:11" x14ac:dyDescent="0.25">
      <c r="A63" s="1" t="s">
        <v>193</v>
      </c>
      <c r="B63" s="1" t="s">
        <v>194</v>
      </c>
      <c r="C63" s="1" t="s">
        <v>183</v>
      </c>
      <c r="D63" s="1" t="s">
        <v>1567</v>
      </c>
      <c r="E63" s="1" t="s">
        <v>32</v>
      </c>
      <c r="F63" s="1" t="s">
        <v>184</v>
      </c>
      <c r="G63" s="1" t="s">
        <v>184</v>
      </c>
      <c r="H63" s="1"/>
      <c r="I63" s="1" t="s">
        <v>10</v>
      </c>
      <c r="J63" s="1" t="s">
        <v>19</v>
      </c>
      <c r="K63" s="1" t="s">
        <v>18</v>
      </c>
    </row>
    <row r="64" spans="1:11" x14ac:dyDescent="0.25">
      <c r="A64" s="1" t="s">
        <v>195</v>
      </c>
      <c r="B64" s="1" t="s">
        <v>196</v>
      </c>
      <c r="C64" s="1" t="s">
        <v>183</v>
      </c>
      <c r="D64" s="1" t="s">
        <v>1568</v>
      </c>
      <c r="E64" s="1" t="s">
        <v>32</v>
      </c>
      <c r="F64" s="1" t="s">
        <v>184</v>
      </c>
      <c r="G64" s="1" t="s">
        <v>184</v>
      </c>
      <c r="H64" s="1"/>
      <c r="I64" s="1" t="s">
        <v>10</v>
      </c>
      <c r="J64" s="1" t="s">
        <v>19</v>
      </c>
      <c r="K64" s="1" t="s">
        <v>18</v>
      </c>
    </row>
    <row r="65" spans="1:11" x14ac:dyDescent="0.25">
      <c r="A65" s="1" t="s">
        <v>197</v>
      </c>
      <c r="B65" s="1" t="s">
        <v>198</v>
      </c>
      <c r="C65" s="1" t="s">
        <v>183</v>
      </c>
      <c r="D65" s="1" t="s">
        <v>1569</v>
      </c>
      <c r="E65" s="1" t="s">
        <v>32</v>
      </c>
      <c r="F65" s="1" t="s">
        <v>184</v>
      </c>
      <c r="G65" s="1" t="s">
        <v>184</v>
      </c>
      <c r="H65" s="1"/>
      <c r="I65" s="1" t="s">
        <v>10</v>
      </c>
      <c r="J65" s="1" t="s">
        <v>19</v>
      </c>
      <c r="K65" s="1" t="s">
        <v>18</v>
      </c>
    </row>
    <row r="66" spans="1:11" x14ac:dyDescent="0.25">
      <c r="A66" s="1" t="s">
        <v>199</v>
      </c>
      <c r="B66" s="1" t="s">
        <v>200</v>
      </c>
      <c r="C66" s="1" t="s">
        <v>1</v>
      </c>
      <c r="D66" s="1" t="s">
        <v>1570</v>
      </c>
      <c r="E66" s="1" t="s">
        <v>32</v>
      </c>
      <c r="F66" s="1" t="s">
        <v>184</v>
      </c>
      <c r="G66" s="1" t="s">
        <v>184</v>
      </c>
      <c r="H66" s="1"/>
      <c r="I66" s="1" t="s">
        <v>10</v>
      </c>
      <c r="J66" s="1" t="s">
        <v>19</v>
      </c>
      <c r="K66" s="1" t="s">
        <v>18</v>
      </c>
    </row>
    <row r="67" spans="1:11" x14ac:dyDescent="0.25">
      <c r="A67" s="1" t="s">
        <v>201</v>
      </c>
      <c r="B67" s="1" t="s">
        <v>202</v>
      </c>
      <c r="C67" s="1" t="s">
        <v>183</v>
      </c>
      <c r="D67" s="1" t="s">
        <v>1571</v>
      </c>
      <c r="E67" s="1" t="s">
        <v>32</v>
      </c>
      <c r="F67" s="1" t="s">
        <v>184</v>
      </c>
      <c r="G67" s="1" t="s">
        <v>184</v>
      </c>
      <c r="H67" s="1"/>
      <c r="I67" s="1" t="s">
        <v>10</v>
      </c>
      <c r="J67" s="1" t="s">
        <v>19</v>
      </c>
      <c r="K67" s="1" t="s">
        <v>18</v>
      </c>
    </row>
    <row r="68" spans="1:11" x14ac:dyDescent="0.25">
      <c r="A68" s="1" t="s">
        <v>204</v>
      </c>
      <c r="B68" s="1" t="s">
        <v>205</v>
      </c>
      <c r="C68" s="1" t="s">
        <v>1</v>
      </c>
      <c r="D68" s="1" t="s">
        <v>1559</v>
      </c>
      <c r="E68" s="1" t="s">
        <v>32</v>
      </c>
      <c r="F68" s="1" t="s">
        <v>184</v>
      </c>
      <c r="G68" s="1" t="s">
        <v>184</v>
      </c>
      <c r="H68" s="1"/>
      <c r="I68" s="1" t="s">
        <v>10</v>
      </c>
      <c r="J68" s="1" t="s">
        <v>19</v>
      </c>
      <c r="K68" s="1" t="s">
        <v>18</v>
      </c>
    </row>
    <row r="69" spans="1:11" x14ac:dyDescent="0.25">
      <c r="A69" s="1" t="s">
        <v>206</v>
      </c>
      <c r="B69" s="1" t="s">
        <v>207</v>
      </c>
      <c r="C69" s="1" t="s">
        <v>183</v>
      </c>
      <c r="D69" s="1" t="s">
        <v>1572</v>
      </c>
      <c r="E69" s="1" t="s">
        <v>32</v>
      </c>
      <c r="F69" s="1" t="s">
        <v>184</v>
      </c>
      <c r="G69" s="1" t="s">
        <v>184</v>
      </c>
      <c r="H69" s="1"/>
      <c r="I69" s="1" t="s">
        <v>10</v>
      </c>
      <c r="J69" s="1" t="s">
        <v>19</v>
      </c>
      <c r="K69" s="1" t="s">
        <v>18</v>
      </c>
    </row>
    <row r="70" spans="1:11" x14ac:dyDescent="0.25">
      <c r="A70" s="1" t="s">
        <v>208</v>
      </c>
      <c r="B70" s="1" t="s">
        <v>209</v>
      </c>
      <c r="C70" s="1" t="s">
        <v>336</v>
      </c>
      <c r="D70" s="1" t="s">
        <v>1573</v>
      </c>
      <c r="E70" s="1" t="s">
        <v>32</v>
      </c>
      <c r="F70" s="1" t="s">
        <v>210</v>
      </c>
      <c r="G70" s="1" t="s">
        <v>210</v>
      </c>
      <c r="H70" s="1"/>
      <c r="I70" s="1" t="s">
        <v>10</v>
      </c>
      <c r="J70" s="1" t="s">
        <v>19</v>
      </c>
      <c r="K70" s="1" t="s">
        <v>18</v>
      </c>
    </row>
    <row r="71" spans="1:11" x14ac:dyDescent="0.25">
      <c r="A71" s="1" t="s">
        <v>211</v>
      </c>
      <c r="B71" s="1" t="s">
        <v>212</v>
      </c>
      <c r="C71" s="1" t="s">
        <v>13</v>
      </c>
      <c r="D71" s="1" t="s">
        <v>1574</v>
      </c>
      <c r="E71" s="1" t="s">
        <v>32</v>
      </c>
      <c r="F71" s="1" t="s">
        <v>210</v>
      </c>
      <c r="G71" s="1" t="s">
        <v>210</v>
      </c>
      <c r="H71" s="1"/>
      <c r="I71" s="1" t="s">
        <v>10</v>
      </c>
      <c r="J71" s="1" t="s">
        <v>19</v>
      </c>
      <c r="K71" s="1" t="s">
        <v>18</v>
      </c>
    </row>
    <row r="72" spans="1:11" x14ac:dyDescent="0.25">
      <c r="A72" s="1" t="s">
        <v>213</v>
      </c>
      <c r="B72" s="1" t="s">
        <v>214</v>
      </c>
      <c r="C72" s="1" t="s">
        <v>9</v>
      </c>
      <c r="D72" s="1" t="s">
        <v>1575</v>
      </c>
      <c r="E72" s="1" t="s">
        <v>32</v>
      </c>
      <c r="F72" s="1" t="s">
        <v>210</v>
      </c>
      <c r="G72" s="1" t="s">
        <v>210</v>
      </c>
      <c r="H72" s="1"/>
      <c r="I72" s="1" t="s">
        <v>10</v>
      </c>
      <c r="J72" s="1" t="s">
        <v>19</v>
      </c>
      <c r="K72" s="1" t="s">
        <v>18</v>
      </c>
    </row>
    <row r="73" spans="1:11" x14ac:dyDescent="0.25">
      <c r="A73" s="1" t="s">
        <v>215</v>
      </c>
      <c r="B73" s="1" t="s">
        <v>216</v>
      </c>
      <c r="C73" s="1" t="s">
        <v>13</v>
      </c>
      <c r="D73" s="1" t="s">
        <v>1576</v>
      </c>
      <c r="E73" s="1" t="s">
        <v>32</v>
      </c>
      <c r="F73" s="1" t="s">
        <v>210</v>
      </c>
      <c r="G73" s="1" t="s">
        <v>210</v>
      </c>
      <c r="H73" s="1"/>
      <c r="I73" s="1" t="s">
        <v>10</v>
      </c>
      <c r="J73" s="1" t="s">
        <v>19</v>
      </c>
      <c r="K73" s="1" t="s">
        <v>18</v>
      </c>
    </row>
    <row r="74" spans="1:11" x14ac:dyDescent="0.25">
      <c r="A74" s="1" t="s">
        <v>217</v>
      </c>
      <c r="B74" s="1" t="s">
        <v>218</v>
      </c>
      <c r="C74" s="1" t="s">
        <v>63</v>
      </c>
      <c r="D74" s="1" t="s">
        <v>1540</v>
      </c>
      <c r="E74" s="1" t="s">
        <v>32</v>
      </c>
      <c r="F74" s="1" t="s">
        <v>210</v>
      </c>
      <c r="G74" s="1" t="s">
        <v>210</v>
      </c>
      <c r="H74" s="1"/>
      <c r="I74" s="1" t="s">
        <v>10</v>
      </c>
      <c r="J74" s="1" t="s">
        <v>19</v>
      </c>
      <c r="K74" s="1" t="s">
        <v>18</v>
      </c>
    </row>
    <row r="75" spans="1:11" x14ac:dyDescent="0.25">
      <c r="A75" s="1" t="s">
        <v>220</v>
      </c>
      <c r="B75" s="1" t="s">
        <v>221</v>
      </c>
      <c r="C75" s="1" t="s">
        <v>33</v>
      </c>
      <c r="D75" s="1" t="s">
        <v>1530</v>
      </c>
      <c r="E75" s="1" t="s">
        <v>32</v>
      </c>
      <c r="F75" s="1" t="s">
        <v>40</v>
      </c>
      <c r="G75" s="1" t="s">
        <v>40</v>
      </c>
      <c r="H75" s="1"/>
      <c r="I75" s="1" t="s">
        <v>10</v>
      </c>
      <c r="J75" s="1" t="s">
        <v>19</v>
      </c>
      <c r="K75" s="1" t="s">
        <v>18</v>
      </c>
    </row>
    <row r="76" spans="1:11" x14ac:dyDescent="0.25">
      <c r="A76" s="1" t="s">
        <v>223</v>
      </c>
      <c r="B76" s="1" t="s">
        <v>224</v>
      </c>
      <c r="C76" s="1" t="s">
        <v>13</v>
      </c>
      <c r="D76" s="1" t="s">
        <v>1577</v>
      </c>
      <c r="E76" s="1" t="s">
        <v>32</v>
      </c>
      <c r="F76" s="1" t="s">
        <v>210</v>
      </c>
      <c r="G76" s="1" t="s">
        <v>210</v>
      </c>
      <c r="H76" s="1"/>
      <c r="I76" s="1" t="s">
        <v>10</v>
      </c>
      <c r="J76" s="1" t="s">
        <v>19</v>
      </c>
      <c r="K76" s="1" t="s">
        <v>18</v>
      </c>
    </row>
    <row r="77" spans="1:11" x14ac:dyDescent="0.25">
      <c r="A77" s="1" t="s">
        <v>225</v>
      </c>
      <c r="B77" s="1" t="s">
        <v>226</v>
      </c>
      <c r="C77" s="1" t="s">
        <v>101</v>
      </c>
      <c r="D77" s="1" t="s">
        <v>1578</v>
      </c>
      <c r="E77" s="1" t="s">
        <v>32</v>
      </c>
      <c r="F77" s="1" t="s">
        <v>210</v>
      </c>
      <c r="G77" s="1" t="s">
        <v>210</v>
      </c>
      <c r="H77" s="1"/>
      <c r="I77" s="1" t="s">
        <v>10</v>
      </c>
      <c r="J77" s="1" t="s">
        <v>19</v>
      </c>
      <c r="K77" s="1" t="s">
        <v>18</v>
      </c>
    </row>
    <row r="78" spans="1:11" x14ac:dyDescent="0.25">
      <c r="A78" s="1" t="s">
        <v>227</v>
      </c>
      <c r="B78" s="1" t="s">
        <v>228</v>
      </c>
      <c r="C78" s="1" t="s">
        <v>13</v>
      </c>
      <c r="D78" s="1" t="s">
        <v>1579</v>
      </c>
      <c r="E78" s="1" t="s">
        <v>32</v>
      </c>
      <c r="F78" s="1" t="s">
        <v>210</v>
      </c>
      <c r="G78" s="1" t="s">
        <v>210</v>
      </c>
      <c r="H78" s="1"/>
      <c r="I78" s="1" t="s">
        <v>10</v>
      </c>
      <c r="J78" s="1" t="s">
        <v>19</v>
      </c>
      <c r="K78" s="1" t="s">
        <v>18</v>
      </c>
    </row>
    <row r="79" spans="1:11" x14ac:dyDescent="0.25">
      <c r="A79" s="1" t="s">
        <v>229</v>
      </c>
      <c r="B79" s="1" t="s">
        <v>230</v>
      </c>
      <c r="C79" s="1" t="s">
        <v>231</v>
      </c>
      <c r="D79" s="1" t="s">
        <v>1580</v>
      </c>
      <c r="E79" s="1" t="s">
        <v>232</v>
      </c>
      <c r="F79" s="1" t="s">
        <v>40</v>
      </c>
      <c r="G79" s="1" t="s">
        <v>40</v>
      </c>
      <c r="H79" s="1"/>
      <c r="I79" s="1"/>
      <c r="J79" s="1" t="s">
        <v>19</v>
      </c>
      <c r="K79" s="1" t="s">
        <v>18</v>
      </c>
    </row>
    <row r="80" spans="1:11" x14ac:dyDescent="0.25">
      <c r="A80" s="1" t="s">
        <v>233</v>
      </c>
      <c r="B80" s="1" t="s">
        <v>234</v>
      </c>
      <c r="C80" s="1" t="s">
        <v>231</v>
      </c>
      <c r="D80" s="1" t="s">
        <v>1581</v>
      </c>
      <c r="E80" s="1" t="s">
        <v>232</v>
      </c>
      <c r="F80" s="1" t="s">
        <v>40</v>
      </c>
      <c r="G80" s="1" t="s">
        <v>40</v>
      </c>
      <c r="H80" s="1"/>
      <c r="I80" s="1"/>
      <c r="J80" s="1" t="s">
        <v>19</v>
      </c>
      <c r="K80" s="1" t="s">
        <v>18</v>
      </c>
    </row>
    <row r="81" spans="1:11" x14ac:dyDescent="0.25">
      <c r="A81" s="1" t="s">
        <v>235</v>
      </c>
      <c r="B81" s="1" t="s">
        <v>236</v>
      </c>
      <c r="C81" s="1" t="s">
        <v>231</v>
      </c>
      <c r="D81" s="1" t="s">
        <v>1582</v>
      </c>
      <c r="E81" s="1" t="s">
        <v>232</v>
      </c>
      <c r="F81" s="1" t="s">
        <v>40</v>
      </c>
      <c r="G81" s="1" t="s">
        <v>40</v>
      </c>
      <c r="H81" s="1"/>
      <c r="I81" s="1"/>
      <c r="J81" s="1" t="s">
        <v>19</v>
      </c>
      <c r="K81" s="1" t="s">
        <v>18</v>
      </c>
    </row>
    <row r="82" spans="1:11" x14ac:dyDescent="0.25">
      <c r="A82" s="1" t="s">
        <v>237</v>
      </c>
      <c r="B82" s="1" t="s">
        <v>238</v>
      </c>
      <c r="C82" s="1" t="s">
        <v>203</v>
      </c>
      <c r="D82" s="1" t="s">
        <v>1583</v>
      </c>
      <c r="E82" s="1" t="s">
        <v>232</v>
      </c>
      <c r="F82" s="1" t="s">
        <v>40</v>
      </c>
      <c r="G82" s="1" t="s">
        <v>40</v>
      </c>
      <c r="H82" s="1"/>
      <c r="I82" s="1"/>
      <c r="J82" s="1" t="s">
        <v>19</v>
      </c>
      <c r="K82" s="1" t="s">
        <v>18</v>
      </c>
    </row>
    <row r="83" spans="1:11" x14ac:dyDescent="0.25">
      <c r="A83" s="1" t="s">
        <v>239</v>
      </c>
      <c r="B83" s="1" t="s">
        <v>240</v>
      </c>
      <c r="C83" s="1" t="s">
        <v>1584</v>
      </c>
      <c r="D83" s="1" t="s">
        <v>1585</v>
      </c>
      <c r="E83" s="1" t="s">
        <v>232</v>
      </c>
      <c r="F83" s="1" t="s">
        <v>40</v>
      </c>
      <c r="G83" s="1" t="s">
        <v>40</v>
      </c>
      <c r="H83" s="1"/>
      <c r="I83" s="1"/>
      <c r="J83" s="1" t="s">
        <v>19</v>
      </c>
      <c r="K83" s="1" t="s">
        <v>18</v>
      </c>
    </row>
    <row r="84" spans="1:11" x14ac:dyDescent="0.25">
      <c r="A84" s="1" t="s">
        <v>241</v>
      </c>
      <c r="B84" s="1" t="s">
        <v>242</v>
      </c>
      <c r="C84" s="1" t="s">
        <v>231</v>
      </c>
      <c r="D84" s="1" t="s">
        <v>1586</v>
      </c>
      <c r="E84" s="1" t="s">
        <v>232</v>
      </c>
      <c r="F84" s="1" t="s">
        <v>40</v>
      </c>
      <c r="G84" s="1" t="s">
        <v>40</v>
      </c>
      <c r="H84" s="1"/>
      <c r="I84" s="1"/>
      <c r="J84" s="1" t="s">
        <v>19</v>
      </c>
      <c r="K84" s="1" t="s">
        <v>18</v>
      </c>
    </row>
    <row r="85" spans="1:11" x14ac:dyDescent="0.25">
      <c r="A85" s="1" t="s">
        <v>243</v>
      </c>
      <c r="B85" s="1" t="s">
        <v>244</v>
      </c>
      <c r="C85" s="1" t="s">
        <v>231</v>
      </c>
      <c r="D85" s="1" t="s">
        <v>1587</v>
      </c>
      <c r="E85" s="1" t="s">
        <v>232</v>
      </c>
      <c r="F85" s="1" t="s">
        <v>40</v>
      </c>
      <c r="G85" s="1" t="s">
        <v>40</v>
      </c>
      <c r="H85" s="1"/>
      <c r="I85" s="1"/>
      <c r="J85" s="1" t="s">
        <v>19</v>
      </c>
      <c r="K85" s="1" t="s">
        <v>18</v>
      </c>
    </row>
    <row r="86" spans="1:11" x14ac:dyDescent="0.25">
      <c r="A86" s="1" t="s">
        <v>245</v>
      </c>
      <c r="B86" s="1" t="s">
        <v>246</v>
      </c>
      <c r="C86" s="1" t="s">
        <v>231</v>
      </c>
      <c r="D86" s="1" t="s">
        <v>1588</v>
      </c>
      <c r="E86" s="1" t="s">
        <v>232</v>
      </c>
      <c r="F86" s="1" t="s">
        <v>40</v>
      </c>
      <c r="G86" s="1" t="s">
        <v>40</v>
      </c>
      <c r="H86" s="1"/>
      <c r="I86" s="1"/>
      <c r="J86" s="1" t="s">
        <v>19</v>
      </c>
      <c r="K86" s="1" t="s">
        <v>18</v>
      </c>
    </row>
    <row r="87" spans="1:11" x14ac:dyDescent="0.25">
      <c r="A87" s="1" t="s">
        <v>248</v>
      </c>
      <c r="B87" s="1" t="s">
        <v>249</v>
      </c>
      <c r="C87" s="1" t="s">
        <v>231</v>
      </c>
      <c r="D87" s="1" t="s">
        <v>1589</v>
      </c>
      <c r="E87" s="1" t="s">
        <v>232</v>
      </c>
      <c r="F87" s="1" t="s">
        <v>40</v>
      </c>
      <c r="G87" s="1" t="s">
        <v>40</v>
      </c>
      <c r="H87" s="1"/>
      <c r="I87" s="1"/>
      <c r="J87" s="1" t="s">
        <v>19</v>
      </c>
      <c r="K87" s="1" t="s">
        <v>18</v>
      </c>
    </row>
    <row r="88" spans="1:11" x14ac:dyDescent="0.25">
      <c r="A88" s="1" t="s">
        <v>250</v>
      </c>
      <c r="B88" s="1" t="s">
        <v>251</v>
      </c>
      <c r="C88" s="1" t="s">
        <v>231</v>
      </c>
      <c r="D88" s="1" t="s">
        <v>1590</v>
      </c>
      <c r="E88" s="1" t="s">
        <v>232</v>
      </c>
      <c r="F88" s="1" t="s">
        <v>40</v>
      </c>
      <c r="G88" s="1" t="s">
        <v>40</v>
      </c>
      <c r="H88" s="1"/>
      <c r="I88" s="1"/>
      <c r="J88" s="1" t="s">
        <v>19</v>
      </c>
      <c r="K88" s="1" t="s">
        <v>18</v>
      </c>
    </row>
    <row r="89" spans="1:11" x14ac:dyDescent="0.25">
      <c r="A89" s="1" t="s">
        <v>252</v>
      </c>
      <c r="B89" s="1" t="s">
        <v>253</v>
      </c>
      <c r="C89" s="1" t="s">
        <v>1</v>
      </c>
      <c r="D89" s="1" t="s">
        <v>1535</v>
      </c>
      <c r="E89" s="1" t="s">
        <v>232</v>
      </c>
      <c r="F89" s="1" t="s">
        <v>40</v>
      </c>
      <c r="G89" s="1" t="s">
        <v>40</v>
      </c>
      <c r="H89" s="1"/>
      <c r="I89" s="1"/>
      <c r="J89" s="1" t="s">
        <v>19</v>
      </c>
      <c r="K89" s="1" t="s">
        <v>18</v>
      </c>
    </row>
    <row r="90" spans="1:11" x14ac:dyDescent="0.25">
      <c r="A90" s="1" t="s">
        <v>254</v>
      </c>
      <c r="B90" s="1" t="s">
        <v>255</v>
      </c>
      <c r="C90" s="1" t="s">
        <v>203</v>
      </c>
      <c r="D90" s="1" t="s">
        <v>1591</v>
      </c>
      <c r="E90" s="1" t="s">
        <v>232</v>
      </c>
      <c r="F90" s="1" t="s">
        <v>40</v>
      </c>
      <c r="G90" s="1" t="s">
        <v>40</v>
      </c>
      <c r="H90" s="1"/>
      <c r="I90" s="1"/>
      <c r="J90" s="1" t="s">
        <v>19</v>
      </c>
      <c r="K90" s="1" t="s">
        <v>18</v>
      </c>
    </row>
    <row r="91" spans="1:11" x14ac:dyDescent="0.25">
      <c r="A91" s="1" t="s">
        <v>256</v>
      </c>
      <c r="B91" s="1" t="s">
        <v>257</v>
      </c>
      <c r="C91" s="1" t="s">
        <v>231</v>
      </c>
      <c r="D91" s="1" t="s">
        <v>1570</v>
      </c>
      <c r="E91" s="1" t="s">
        <v>232</v>
      </c>
      <c r="F91" s="1" t="s">
        <v>40</v>
      </c>
      <c r="G91" s="1" t="s">
        <v>40</v>
      </c>
      <c r="H91" s="1"/>
      <c r="I91" s="1"/>
      <c r="J91" s="1" t="s">
        <v>19</v>
      </c>
      <c r="K91" s="1" t="s">
        <v>18</v>
      </c>
    </row>
    <row r="92" spans="1:11" x14ac:dyDescent="0.25">
      <c r="A92" s="1" t="s">
        <v>258</v>
      </c>
      <c r="B92" s="1" t="s">
        <v>259</v>
      </c>
      <c r="C92" s="1" t="s">
        <v>231</v>
      </c>
      <c r="D92" s="1" t="s">
        <v>1592</v>
      </c>
      <c r="E92" s="1" t="s">
        <v>232</v>
      </c>
      <c r="F92" s="1" t="s">
        <v>40</v>
      </c>
      <c r="G92" s="1" t="s">
        <v>40</v>
      </c>
      <c r="H92" s="1"/>
      <c r="I92" s="1"/>
      <c r="J92" s="1" t="s">
        <v>19</v>
      </c>
      <c r="K92" s="1" t="s">
        <v>18</v>
      </c>
    </row>
    <row r="93" spans="1:11" x14ac:dyDescent="0.25">
      <c r="A93" s="1" t="s">
        <v>260</v>
      </c>
      <c r="B93" s="1" t="s">
        <v>261</v>
      </c>
      <c r="C93" s="1" t="s">
        <v>231</v>
      </c>
      <c r="D93" s="1" t="s">
        <v>1593</v>
      </c>
      <c r="E93" s="1" t="s">
        <v>232</v>
      </c>
      <c r="F93" s="1" t="s">
        <v>40</v>
      </c>
      <c r="G93" s="1" t="s">
        <v>40</v>
      </c>
      <c r="H93" s="1"/>
      <c r="I93" s="1"/>
      <c r="J93" s="1" t="s">
        <v>19</v>
      </c>
      <c r="K93" s="1" t="s">
        <v>18</v>
      </c>
    </row>
    <row r="94" spans="1:11" x14ac:dyDescent="0.25">
      <c r="A94" s="1" t="s">
        <v>262</v>
      </c>
      <c r="B94" s="1" t="s">
        <v>263</v>
      </c>
      <c r="C94" s="1" t="s">
        <v>231</v>
      </c>
      <c r="D94" s="1" t="s">
        <v>264</v>
      </c>
      <c r="E94" s="1" t="s">
        <v>232</v>
      </c>
      <c r="F94" s="1" t="s">
        <v>40</v>
      </c>
      <c r="G94" s="1" t="s">
        <v>40</v>
      </c>
      <c r="H94" s="1"/>
      <c r="I94" s="1"/>
      <c r="J94" s="1" t="s">
        <v>19</v>
      </c>
      <c r="K94" s="1" t="s">
        <v>18</v>
      </c>
    </row>
    <row r="95" spans="1:11" x14ac:dyDescent="0.25">
      <c r="A95" s="1" t="s">
        <v>265</v>
      </c>
      <c r="B95" s="1" t="s">
        <v>266</v>
      </c>
      <c r="C95" s="1" t="s">
        <v>231</v>
      </c>
      <c r="D95" s="1" t="s">
        <v>1594</v>
      </c>
      <c r="E95" s="1" t="s">
        <v>232</v>
      </c>
      <c r="F95" s="1" t="s">
        <v>40</v>
      </c>
      <c r="G95" s="1" t="s">
        <v>40</v>
      </c>
      <c r="H95" s="1"/>
      <c r="I95" s="1"/>
      <c r="J95" s="1" t="s">
        <v>19</v>
      </c>
      <c r="K95" s="1" t="s">
        <v>18</v>
      </c>
    </row>
    <row r="96" spans="1:11" x14ac:dyDescent="0.25">
      <c r="A96" s="1" t="s">
        <v>267</v>
      </c>
      <c r="B96" s="1" t="s">
        <v>268</v>
      </c>
      <c r="C96" s="1" t="s">
        <v>1584</v>
      </c>
      <c r="D96" s="1" t="s">
        <v>1595</v>
      </c>
      <c r="E96" s="1" t="s">
        <v>232</v>
      </c>
      <c r="F96" s="1" t="s">
        <v>40</v>
      </c>
      <c r="G96" s="1" t="s">
        <v>40</v>
      </c>
      <c r="H96" s="1"/>
      <c r="I96" s="1"/>
      <c r="J96" s="1" t="s">
        <v>19</v>
      </c>
      <c r="K96" s="1" t="s">
        <v>18</v>
      </c>
    </row>
    <row r="97" spans="1:11" x14ac:dyDescent="0.25">
      <c r="A97" s="1" t="s">
        <v>269</v>
      </c>
      <c r="B97" s="1" t="s">
        <v>270</v>
      </c>
      <c r="C97" s="1" t="s">
        <v>231</v>
      </c>
      <c r="D97" s="1" t="s">
        <v>1596</v>
      </c>
      <c r="E97" s="1" t="s">
        <v>232</v>
      </c>
      <c r="F97" s="1" t="s">
        <v>40</v>
      </c>
      <c r="G97" s="1" t="s">
        <v>40</v>
      </c>
      <c r="H97" s="1"/>
      <c r="I97" s="1"/>
      <c r="J97" s="1" t="s">
        <v>19</v>
      </c>
      <c r="K97" s="1" t="s">
        <v>18</v>
      </c>
    </row>
    <row r="98" spans="1:11" x14ac:dyDescent="0.25">
      <c r="A98" s="1" t="s">
        <v>271</v>
      </c>
      <c r="B98" s="1" t="s">
        <v>272</v>
      </c>
      <c r="C98" s="1" t="s">
        <v>231</v>
      </c>
      <c r="D98" s="1" t="s">
        <v>273</v>
      </c>
      <c r="E98" s="1" t="s">
        <v>232</v>
      </c>
      <c r="F98" s="1" t="s">
        <v>40</v>
      </c>
      <c r="G98" s="1" t="s">
        <v>40</v>
      </c>
      <c r="H98" s="1"/>
      <c r="I98" s="1"/>
      <c r="J98" s="1" t="s">
        <v>19</v>
      </c>
      <c r="K98" s="1" t="s">
        <v>18</v>
      </c>
    </row>
    <row r="99" spans="1:11" x14ac:dyDescent="0.25">
      <c r="A99" s="1" t="s">
        <v>274</v>
      </c>
      <c r="B99" s="1" t="s">
        <v>275</v>
      </c>
      <c r="C99" s="1" t="s">
        <v>203</v>
      </c>
      <c r="D99" s="1" t="s">
        <v>1597</v>
      </c>
      <c r="E99" s="1" t="s">
        <v>232</v>
      </c>
      <c r="F99" s="1" t="s">
        <v>40</v>
      </c>
      <c r="G99" s="1" t="s">
        <v>40</v>
      </c>
      <c r="H99" s="1"/>
      <c r="I99" s="1"/>
      <c r="J99" s="1" t="s">
        <v>19</v>
      </c>
      <c r="K99" s="1" t="s">
        <v>18</v>
      </c>
    </row>
    <row r="100" spans="1:11" x14ac:dyDescent="0.25">
      <c r="A100" s="1" t="s">
        <v>276</v>
      </c>
      <c r="B100" s="1" t="s">
        <v>277</v>
      </c>
      <c r="C100" s="1" t="s">
        <v>1584</v>
      </c>
      <c r="D100" s="1" t="s">
        <v>1598</v>
      </c>
      <c r="E100" s="1" t="s">
        <v>232</v>
      </c>
      <c r="F100" s="1" t="s">
        <v>40</v>
      </c>
      <c r="G100" s="1" t="s">
        <v>40</v>
      </c>
      <c r="H100" s="1"/>
      <c r="I100" s="1"/>
      <c r="J100" s="1" t="s">
        <v>19</v>
      </c>
      <c r="K100" s="1" t="s">
        <v>18</v>
      </c>
    </row>
    <row r="101" spans="1:11" x14ac:dyDescent="0.25">
      <c r="A101" s="1" t="s">
        <v>278</v>
      </c>
      <c r="B101" s="1" t="s">
        <v>279</v>
      </c>
      <c r="C101" s="1" t="s">
        <v>231</v>
      </c>
      <c r="D101" s="1" t="s">
        <v>1599</v>
      </c>
      <c r="E101" s="1" t="s">
        <v>232</v>
      </c>
      <c r="F101" s="1" t="s">
        <v>40</v>
      </c>
      <c r="G101" s="1" t="s">
        <v>40</v>
      </c>
      <c r="H101" s="1"/>
      <c r="I101" s="1"/>
      <c r="J101" s="1" t="s">
        <v>19</v>
      </c>
      <c r="K101" s="1" t="s">
        <v>18</v>
      </c>
    </row>
    <row r="102" spans="1:11" x14ac:dyDescent="0.25">
      <c r="A102" s="1" t="s">
        <v>280</v>
      </c>
      <c r="B102" s="1" t="s">
        <v>281</v>
      </c>
      <c r="C102" s="1" t="s">
        <v>174</v>
      </c>
      <c r="D102" s="1" t="s">
        <v>282</v>
      </c>
      <c r="E102" s="1" t="s">
        <v>32</v>
      </c>
      <c r="F102" s="1" t="s">
        <v>40</v>
      </c>
      <c r="G102" s="1" t="s">
        <v>40</v>
      </c>
      <c r="H102" s="1"/>
      <c r="I102" s="1"/>
      <c r="J102" s="1" t="s">
        <v>19</v>
      </c>
      <c r="K102" s="1" t="s">
        <v>18</v>
      </c>
    </row>
    <row r="103" spans="1:11" x14ac:dyDescent="0.25">
      <c r="A103" s="1" t="s">
        <v>283</v>
      </c>
      <c r="B103" s="1" t="s">
        <v>284</v>
      </c>
      <c r="C103" s="1" t="s">
        <v>174</v>
      </c>
      <c r="D103" s="1" t="s">
        <v>1600</v>
      </c>
      <c r="E103" s="1" t="s">
        <v>32</v>
      </c>
      <c r="F103" s="1" t="s">
        <v>40</v>
      </c>
      <c r="G103" s="1" t="s">
        <v>40</v>
      </c>
      <c r="H103" s="1"/>
      <c r="I103" s="1"/>
      <c r="J103" s="1" t="s">
        <v>19</v>
      </c>
      <c r="K103" s="1" t="s">
        <v>18</v>
      </c>
    </row>
    <row r="104" spans="1:11" x14ac:dyDescent="0.25">
      <c r="A104" s="1" t="s">
        <v>285</v>
      </c>
      <c r="B104" s="1" t="s">
        <v>286</v>
      </c>
      <c r="C104" s="1" t="s">
        <v>156</v>
      </c>
      <c r="D104" s="1" t="s">
        <v>287</v>
      </c>
      <c r="E104" s="1" t="s">
        <v>32</v>
      </c>
      <c r="F104" s="1" t="s">
        <v>37</v>
      </c>
      <c r="G104" s="1" t="s">
        <v>37</v>
      </c>
      <c r="H104" s="1"/>
      <c r="I104" s="1"/>
      <c r="J104" s="1" t="s">
        <v>19</v>
      </c>
      <c r="K104" s="1" t="s">
        <v>18</v>
      </c>
    </row>
    <row r="105" spans="1:11" x14ac:dyDescent="0.25">
      <c r="A105" s="1" t="s">
        <v>288</v>
      </c>
      <c r="B105" s="1" t="s">
        <v>289</v>
      </c>
      <c r="C105" s="1" t="s">
        <v>141</v>
      </c>
      <c r="D105" s="1" t="s">
        <v>1601</v>
      </c>
      <c r="E105" s="1" t="s">
        <v>32</v>
      </c>
      <c r="F105" s="1" t="s">
        <v>40</v>
      </c>
      <c r="G105" s="1" t="s">
        <v>40</v>
      </c>
      <c r="H105" s="1"/>
      <c r="I105" s="1"/>
      <c r="J105" s="1" t="s">
        <v>19</v>
      </c>
      <c r="K105" s="1" t="s">
        <v>18</v>
      </c>
    </row>
    <row r="106" spans="1:11" x14ac:dyDescent="0.25">
      <c r="A106" s="1" t="s">
        <v>290</v>
      </c>
      <c r="B106" s="1" t="s">
        <v>291</v>
      </c>
      <c r="C106" s="1" t="s">
        <v>146</v>
      </c>
      <c r="D106" s="1" t="s">
        <v>292</v>
      </c>
      <c r="E106" s="1" t="s">
        <v>32</v>
      </c>
      <c r="F106" s="1" t="s">
        <v>40</v>
      </c>
      <c r="G106" s="1" t="s">
        <v>40</v>
      </c>
      <c r="H106" s="1"/>
      <c r="I106" s="1"/>
      <c r="J106" s="1" t="s">
        <v>19</v>
      </c>
      <c r="K106" s="1" t="s">
        <v>18</v>
      </c>
    </row>
    <row r="107" spans="1:11" x14ac:dyDescent="0.25">
      <c r="A107" s="1" t="s">
        <v>293</v>
      </c>
      <c r="B107" s="1" t="s">
        <v>294</v>
      </c>
      <c r="C107" s="1" t="s">
        <v>149</v>
      </c>
      <c r="D107" s="1" t="s">
        <v>295</v>
      </c>
      <c r="E107" s="1" t="s">
        <v>32</v>
      </c>
      <c r="F107" s="1" t="s">
        <v>296</v>
      </c>
      <c r="G107" s="1" t="s">
        <v>296</v>
      </c>
      <c r="H107" s="1"/>
      <c r="I107" s="1"/>
      <c r="J107" s="1" t="s">
        <v>19</v>
      </c>
      <c r="K107" s="1" t="s">
        <v>18</v>
      </c>
    </row>
    <row r="108" spans="1:11" x14ac:dyDescent="0.25">
      <c r="A108" s="1" t="s">
        <v>297</v>
      </c>
      <c r="B108" s="1" t="s">
        <v>298</v>
      </c>
      <c r="C108" s="1" t="s">
        <v>149</v>
      </c>
      <c r="D108" s="1" t="s">
        <v>1602</v>
      </c>
      <c r="E108" s="1" t="s">
        <v>32</v>
      </c>
      <c r="F108" s="1" t="s">
        <v>296</v>
      </c>
      <c r="G108" s="1" t="s">
        <v>296</v>
      </c>
      <c r="H108" s="1"/>
      <c r="I108" s="1"/>
      <c r="J108" s="1" t="s">
        <v>19</v>
      </c>
      <c r="K108" s="1" t="s">
        <v>18</v>
      </c>
    </row>
    <row r="109" spans="1:11" x14ac:dyDescent="0.25">
      <c r="A109" s="1" t="s">
        <v>299</v>
      </c>
      <c r="B109" s="1" t="s">
        <v>300</v>
      </c>
      <c r="C109" s="1" t="s">
        <v>174</v>
      </c>
      <c r="D109" s="1" t="s">
        <v>1603</v>
      </c>
      <c r="E109" s="1" t="s">
        <v>32</v>
      </c>
      <c r="F109" s="1" t="s">
        <v>296</v>
      </c>
      <c r="G109" s="1" t="s">
        <v>296</v>
      </c>
      <c r="H109" s="1"/>
      <c r="I109" s="1"/>
      <c r="J109" s="1" t="s">
        <v>19</v>
      </c>
      <c r="K109" s="1" t="s">
        <v>18</v>
      </c>
    </row>
    <row r="110" spans="1:11" x14ac:dyDescent="0.25">
      <c r="A110" s="1" t="s">
        <v>301</v>
      </c>
      <c r="B110" s="1" t="s">
        <v>302</v>
      </c>
      <c r="C110" s="1" t="s">
        <v>146</v>
      </c>
      <c r="D110" s="1" t="s">
        <v>1604</v>
      </c>
      <c r="E110" s="1" t="s">
        <v>32</v>
      </c>
      <c r="F110" s="1" t="s">
        <v>37</v>
      </c>
      <c r="G110" s="1" t="s">
        <v>37</v>
      </c>
      <c r="H110" s="1"/>
      <c r="I110" s="1"/>
      <c r="J110" s="1" t="s">
        <v>19</v>
      </c>
      <c r="K110" s="1" t="s">
        <v>18</v>
      </c>
    </row>
    <row r="111" spans="1:11" x14ac:dyDescent="0.25">
      <c r="A111" s="1" t="s">
        <v>303</v>
      </c>
      <c r="B111" s="1" t="s">
        <v>304</v>
      </c>
      <c r="C111" s="1" t="s">
        <v>174</v>
      </c>
      <c r="D111" s="1" t="s">
        <v>1605</v>
      </c>
      <c r="E111" s="1" t="s">
        <v>32</v>
      </c>
      <c r="F111" s="1" t="s">
        <v>305</v>
      </c>
      <c r="G111" s="1" t="s">
        <v>305</v>
      </c>
      <c r="H111" s="1"/>
      <c r="I111" s="1"/>
      <c r="J111" s="1" t="s">
        <v>19</v>
      </c>
      <c r="K111" s="1" t="s">
        <v>18</v>
      </c>
    </row>
    <row r="112" spans="1:11" x14ac:dyDescent="0.25">
      <c r="A112" s="1" t="s">
        <v>306</v>
      </c>
      <c r="B112" s="1" t="s">
        <v>307</v>
      </c>
      <c r="C112" s="1" t="s">
        <v>156</v>
      </c>
      <c r="D112" s="1" t="s">
        <v>1606</v>
      </c>
      <c r="E112" s="1" t="s">
        <v>32</v>
      </c>
      <c r="F112" s="1" t="s">
        <v>308</v>
      </c>
      <c r="G112" s="1" t="s">
        <v>308</v>
      </c>
      <c r="H112" s="1"/>
      <c r="I112" s="1"/>
      <c r="J112" s="1" t="s">
        <v>19</v>
      </c>
      <c r="K112" s="1" t="s">
        <v>18</v>
      </c>
    </row>
    <row r="113" spans="1:11" x14ac:dyDescent="0.25">
      <c r="A113" s="1" t="s">
        <v>309</v>
      </c>
      <c r="B113" s="1" t="s">
        <v>310</v>
      </c>
      <c r="C113" s="1" t="s">
        <v>146</v>
      </c>
      <c r="D113" s="1" t="s">
        <v>1607</v>
      </c>
      <c r="E113" s="1" t="s">
        <v>32</v>
      </c>
      <c r="F113" s="1" t="s">
        <v>305</v>
      </c>
      <c r="G113" s="1" t="s">
        <v>305</v>
      </c>
      <c r="H113" s="1"/>
      <c r="I113" s="1"/>
      <c r="J113" s="1" t="s">
        <v>19</v>
      </c>
      <c r="K113" s="1" t="s">
        <v>18</v>
      </c>
    </row>
    <row r="114" spans="1:11" x14ac:dyDescent="0.25">
      <c r="A114" s="1" t="s">
        <v>311</v>
      </c>
      <c r="B114" s="1" t="s">
        <v>312</v>
      </c>
      <c r="C114" s="1" t="s">
        <v>174</v>
      </c>
      <c r="D114" s="1" t="s">
        <v>1608</v>
      </c>
      <c r="E114" s="1" t="s">
        <v>32</v>
      </c>
      <c r="F114" s="1" t="s">
        <v>305</v>
      </c>
      <c r="G114" s="1" t="s">
        <v>305</v>
      </c>
      <c r="H114" s="1"/>
      <c r="I114" s="1"/>
      <c r="J114" s="1" t="s">
        <v>19</v>
      </c>
      <c r="K114" s="1" t="s">
        <v>18</v>
      </c>
    </row>
    <row r="115" spans="1:11" x14ac:dyDescent="0.25">
      <c r="A115" s="1" t="s">
        <v>313</v>
      </c>
      <c r="B115" s="1" t="s">
        <v>314</v>
      </c>
      <c r="C115" s="1" t="s">
        <v>174</v>
      </c>
      <c r="D115" s="1" t="s">
        <v>1571</v>
      </c>
      <c r="E115" s="1" t="s">
        <v>32</v>
      </c>
      <c r="F115" s="1" t="s">
        <v>308</v>
      </c>
      <c r="G115" s="1" t="s">
        <v>308</v>
      </c>
      <c r="H115" s="1"/>
      <c r="I115" s="1"/>
      <c r="J115" s="1" t="s">
        <v>19</v>
      </c>
      <c r="K115" s="1" t="s">
        <v>18</v>
      </c>
    </row>
    <row r="116" spans="1:11" x14ac:dyDescent="0.25">
      <c r="A116" s="1" t="s">
        <v>316</v>
      </c>
      <c r="B116" s="1" t="s">
        <v>317</v>
      </c>
      <c r="C116" s="1" t="s">
        <v>133</v>
      </c>
      <c r="D116" s="1" t="s">
        <v>1609</v>
      </c>
      <c r="E116" s="1" t="s">
        <v>32</v>
      </c>
      <c r="F116" s="1" t="s">
        <v>40</v>
      </c>
      <c r="G116" s="1" t="s">
        <v>40</v>
      </c>
      <c r="H116" s="1"/>
      <c r="I116" s="1"/>
      <c r="J116" s="1" t="s">
        <v>19</v>
      </c>
      <c r="K116" s="1" t="s">
        <v>18</v>
      </c>
    </row>
    <row r="117" spans="1:11" x14ac:dyDescent="0.25">
      <c r="A117" s="1" t="s">
        <v>318</v>
      </c>
      <c r="B117" s="1" t="s">
        <v>319</v>
      </c>
      <c r="C117" s="1" t="s">
        <v>1</v>
      </c>
      <c r="D117" s="1" t="s">
        <v>1610</v>
      </c>
      <c r="E117" s="1" t="s">
        <v>32</v>
      </c>
      <c r="F117" s="1" t="s">
        <v>40</v>
      </c>
      <c r="G117" s="1" t="s">
        <v>40</v>
      </c>
      <c r="H117" s="1"/>
      <c r="I117" s="1" t="s">
        <v>10</v>
      </c>
      <c r="J117" s="1" t="s">
        <v>19</v>
      </c>
      <c r="K117" s="1" t="s">
        <v>18</v>
      </c>
    </row>
    <row r="118" spans="1:11" x14ac:dyDescent="0.25">
      <c r="A118" s="1" t="s">
        <v>320</v>
      </c>
      <c r="B118" s="1" t="s">
        <v>321</v>
      </c>
      <c r="C118" s="1" t="s">
        <v>222</v>
      </c>
      <c r="D118" s="1" t="s">
        <v>1611</v>
      </c>
      <c r="E118" s="1" t="s">
        <v>32</v>
      </c>
      <c r="F118" s="1" t="s">
        <v>323</v>
      </c>
      <c r="G118" s="1" t="s">
        <v>323</v>
      </c>
      <c r="H118" s="1"/>
      <c r="I118" s="1" t="s">
        <v>10</v>
      </c>
      <c r="J118" s="1" t="s">
        <v>19</v>
      </c>
      <c r="K118" s="1" t="s">
        <v>18</v>
      </c>
    </row>
    <row r="119" spans="1:11" x14ac:dyDescent="0.25">
      <c r="A119" s="1" t="s">
        <v>324</v>
      </c>
      <c r="B119" s="1" t="s">
        <v>325</v>
      </c>
      <c r="C119" s="1" t="s">
        <v>222</v>
      </c>
      <c r="D119" s="1" t="s">
        <v>1612</v>
      </c>
      <c r="E119" s="1" t="s">
        <v>32</v>
      </c>
      <c r="F119" s="1" t="s">
        <v>40</v>
      </c>
      <c r="G119" s="1" t="s">
        <v>40</v>
      </c>
      <c r="H119" s="1"/>
      <c r="I119" s="1" t="s">
        <v>10</v>
      </c>
      <c r="J119" s="1" t="s">
        <v>19</v>
      </c>
      <c r="K119" s="1" t="s">
        <v>18</v>
      </c>
    </row>
    <row r="120" spans="1:11" x14ac:dyDescent="0.25">
      <c r="A120" s="1" t="s">
        <v>326</v>
      </c>
      <c r="B120" s="1" t="s">
        <v>327</v>
      </c>
      <c r="C120" s="1" t="s">
        <v>222</v>
      </c>
      <c r="D120" s="1" t="s">
        <v>768</v>
      </c>
      <c r="E120" s="1" t="s">
        <v>32</v>
      </c>
      <c r="F120" s="1" t="s">
        <v>40</v>
      </c>
      <c r="G120" s="1" t="s">
        <v>40</v>
      </c>
      <c r="H120" s="1"/>
      <c r="I120" s="1" t="s">
        <v>10</v>
      </c>
      <c r="J120" s="1" t="s">
        <v>19</v>
      </c>
      <c r="K120" s="1" t="s">
        <v>18</v>
      </c>
    </row>
    <row r="121" spans="1:11" x14ac:dyDescent="0.25">
      <c r="A121" s="1" t="s">
        <v>328</v>
      </c>
      <c r="B121" s="1" t="s">
        <v>329</v>
      </c>
      <c r="C121" s="1" t="s">
        <v>330</v>
      </c>
      <c r="D121" s="1" t="s">
        <v>104</v>
      </c>
      <c r="E121" s="1" t="s">
        <v>32</v>
      </c>
      <c r="F121" s="1" t="s">
        <v>331</v>
      </c>
      <c r="G121" s="1" t="s">
        <v>331</v>
      </c>
      <c r="H121" s="1"/>
      <c r="I121" s="1" t="s">
        <v>10</v>
      </c>
      <c r="J121" s="1" t="s">
        <v>19</v>
      </c>
      <c r="K121" s="1" t="s">
        <v>18</v>
      </c>
    </row>
    <row r="122" spans="1:11" x14ac:dyDescent="0.25">
      <c r="A122" s="1" t="s">
        <v>332</v>
      </c>
      <c r="B122" s="1" t="s">
        <v>333</v>
      </c>
      <c r="C122" s="1" t="s">
        <v>11</v>
      </c>
      <c r="D122" s="1" t="s">
        <v>1612</v>
      </c>
      <c r="E122" s="1" t="s">
        <v>32</v>
      </c>
      <c r="F122" s="1" t="s">
        <v>331</v>
      </c>
      <c r="G122" s="1" t="s">
        <v>331</v>
      </c>
      <c r="H122" s="1"/>
      <c r="I122" s="1" t="s">
        <v>10</v>
      </c>
      <c r="J122" s="1" t="s">
        <v>19</v>
      </c>
      <c r="K122" s="1" t="s">
        <v>18</v>
      </c>
    </row>
    <row r="123" spans="1:11" x14ac:dyDescent="0.25">
      <c r="A123" s="1" t="s">
        <v>334</v>
      </c>
      <c r="B123" s="1" t="s">
        <v>335</v>
      </c>
      <c r="C123" s="1" t="s">
        <v>344</v>
      </c>
      <c r="D123" s="1" t="s">
        <v>1613</v>
      </c>
      <c r="E123" s="1" t="s">
        <v>32</v>
      </c>
      <c r="F123" s="1" t="s">
        <v>331</v>
      </c>
      <c r="G123" s="1" t="s">
        <v>331</v>
      </c>
      <c r="H123" s="1"/>
      <c r="I123" s="1" t="s">
        <v>10</v>
      </c>
      <c r="J123" s="1" t="s">
        <v>19</v>
      </c>
      <c r="K123" s="1" t="s">
        <v>18</v>
      </c>
    </row>
    <row r="124" spans="1:11" x14ac:dyDescent="0.25">
      <c r="A124" s="1" t="s">
        <v>337</v>
      </c>
      <c r="B124" s="1" t="s">
        <v>338</v>
      </c>
      <c r="C124" s="1" t="s">
        <v>1614</v>
      </c>
      <c r="D124" s="1" t="s">
        <v>1548</v>
      </c>
      <c r="E124" s="1" t="s">
        <v>32</v>
      </c>
      <c r="F124" s="1" t="s">
        <v>331</v>
      </c>
      <c r="G124" s="1" t="s">
        <v>331</v>
      </c>
      <c r="H124" s="1"/>
      <c r="I124" s="1" t="s">
        <v>10</v>
      </c>
      <c r="J124" s="1" t="s">
        <v>19</v>
      </c>
      <c r="K124" s="1" t="s">
        <v>18</v>
      </c>
    </row>
    <row r="125" spans="1:11" x14ac:dyDescent="0.25">
      <c r="A125" s="1" t="s">
        <v>339</v>
      </c>
      <c r="B125" s="1" t="s">
        <v>340</v>
      </c>
      <c r="C125" s="1" t="s">
        <v>336</v>
      </c>
      <c r="D125" s="1" t="s">
        <v>341</v>
      </c>
      <c r="E125" s="1" t="s">
        <v>32</v>
      </c>
      <c r="F125" s="1" t="s">
        <v>331</v>
      </c>
      <c r="G125" s="1" t="s">
        <v>331</v>
      </c>
      <c r="H125" s="1"/>
      <c r="I125" s="1" t="s">
        <v>10</v>
      </c>
      <c r="J125" s="1" t="s">
        <v>19</v>
      </c>
      <c r="K125" s="1" t="s">
        <v>18</v>
      </c>
    </row>
    <row r="126" spans="1:11" x14ac:dyDescent="0.25">
      <c r="A126" s="1" t="s">
        <v>342</v>
      </c>
      <c r="B126" s="1" t="s">
        <v>343</v>
      </c>
      <c r="C126" s="1" t="s">
        <v>336</v>
      </c>
      <c r="D126" s="1" t="s">
        <v>1615</v>
      </c>
      <c r="E126" s="1" t="s">
        <v>32</v>
      </c>
      <c r="F126" s="1" t="s">
        <v>331</v>
      </c>
      <c r="G126" s="1" t="s">
        <v>331</v>
      </c>
      <c r="H126" s="1"/>
      <c r="I126" s="1" t="s">
        <v>10</v>
      </c>
      <c r="J126" s="1" t="s">
        <v>19</v>
      </c>
      <c r="K126" s="1" t="s">
        <v>18</v>
      </c>
    </row>
    <row r="127" spans="1:11" x14ac:dyDescent="0.25">
      <c r="A127" s="1" t="s">
        <v>346</v>
      </c>
      <c r="B127" s="1" t="s">
        <v>347</v>
      </c>
      <c r="C127" s="1" t="s">
        <v>11</v>
      </c>
      <c r="D127" s="1" t="s">
        <v>1612</v>
      </c>
      <c r="E127" s="1" t="s">
        <v>32</v>
      </c>
      <c r="F127" s="1" t="s">
        <v>331</v>
      </c>
      <c r="G127" s="1" t="s">
        <v>331</v>
      </c>
      <c r="H127" s="1"/>
      <c r="I127" s="1" t="s">
        <v>10</v>
      </c>
      <c r="J127" s="1" t="s">
        <v>19</v>
      </c>
      <c r="K127" s="1" t="s">
        <v>18</v>
      </c>
    </row>
    <row r="128" spans="1:11" x14ac:dyDescent="0.25">
      <c r="A128" s="1" t="s">
        <v>348</v>
      </c>
      <c r="B128" s="1" t="s">
        <v>349</v>
      </c>
      <c r="C128" s="1" t="s">
        <v>336</v>
      </c>
      <c r="D128" s="1" t="s">
        <v>1616</v>
      </c>
      <c r="E128" s="1" t="s">
        <v>32</v>
      </c>
      <c r="F128" s="1" t="s">
        <v>331</v>
      </c>
      <c r="G128" s="1" t="s">
        <v>331</v>
      </c>
      <c r="H128" s="1"/>
      <c r="I128" s="1" t="s">
        <v>10</v>
      </c>
      <c r="J128" s="1" t="s">
        <v>19</v>
      </c>
      <c r="K128" s="1" t="s">
        <v>18</v>
      </c>
    </row>
    <row r="129" spans="1:11" x14ac:dyDescent="0.25">
      <c r="A129" s="1" t="s">
        <v>350</v>
      </c>
      <c r="B129" s="1" t="s">
        <v>351</v>
      </c>
      <c r="C129" s="1" t="s">
        <v>11</v>
      </c>
      <c r="D129" s="1" t="s">
        <v>1615</v>
      </c>
      <c r="E129" s="1" t="s">
        <v>32</v>
      </c>
      <c r="F129" s="1" t="s">
        <v>331</v>
      </c>
      <c r="G129" s="1" t="s">
        <v>331</v>
      </c>
      <c r="H129" s="1"/>
      <c r="I129" s="1" t="s">
        <v>10</v>
      </c>
      <c r="J129" s="1" t="s">
        <v>19</v>
      </c>
      <c r="K129" s="1" t="s">
        <v>18</v>
      </c>
    </row>
    <row r="130" spans="1:11" x14ac:dyDescent="0.25">
      <c r="A130" s="1" t="s">
        <v>352</v>
      </c>
      <c r="B130" s="1" t="s">
        <v>353</v>
      </c>
      <c r="C130" s="1" t="s">
        <v>336</v>
      </c>
      <c r="D130" s="1" t="s">
        <v>1617</v>
      </c>
      <c r="E130" s="1" t="s">
        <v>32</v>
      </c>
      <c r="F130" s="1" t="s">
        <v>331</v>
      </c>
      <c r="G130" s="1" t="s">
        <v>331</v>
      </c>
      <c r="H130" s="1"/>
      <c r="I130" s="1" t="s">
        <v>10</v>
      </c>
      <c r="J130" s="1" t="s">
        <v>19</v>
      </c>
      <c r="K130" s="1" t="s">
        <v>18</v>
      </c>
    </row>
    <row r="131" spans="1:11" x14ac:dyDescent="0.25">
      <c r="A131" s="1" t="s">
        <v>354</v>
      </c>
      <c r="B131" s="1" t="s">
        <v>355</v>
      </c>
      <c r="C131" s="1" t="s">
        <v>31</v>
      </c>
      <c r="D131" s="1" t="s">
        <v>1618</v>
      </c>
      <c r="E131" s="1" t="s">
        <v>32</v>
      </c>
      <c r="F131" s="1" t="s">
        <v>331</v>
      </c>
      <c r="G131" s="1" t="s">
        <v>331</v>
      </c>
      <c r="H131" s="1"/>
      <c r="I131" s="1" t="s">
        <v>10</v>
      </c>
      <c r="J131" s="1" t="s">
        <v>19</v>
      </c>
      <c r="K131" s="1" t="s">
        <v>18</v>
      </c>
    </row>
    <row r="132" spans="1:11" x14ac:dyDescent="0.25">
      <c r="A132" s="1" t="s">
        <v>356</v>
      </c>
      <c r="B132" s="1" t="s">
        <v>357</v>
      </c>
      <c r="C132" s="1" t="s">
        <v>31</v>
      </c>
      <c r="D132" s="1" t="s">
        <v>1619</v>
      </c>
      <c r="E132" s="1" t="s">
        <v>32</v>
      </c>
      <c r="F132" s="1" t="s">
        <v>331</v>
      </c>
      <c r="G132" s="1" t="s">
        <v>331</v>
      </c>
      <c r="H132" s="1"/>
      <c r="I132" s="1" t="s">
        <v>10</v>
      </c>
      <c r="J132" s="1" t="s">
        <v>19</v>
      </c>
      <c r="K132" s="1" t="s">
        <v>18</v>
      </c>
    </row>
    <row r="133" spans="1:11" x14ac:dyDescent="0.25">
      <c r="A133" s="1" t="s">
        <v>358</v>
      </c>
      <c r="B133" s="1" t="s">
        <v>359</v>
      </c>
      <c r="C133" s="1" t="s">
        <v>344</v>
      </c>
      <c r="D133" s="1" t="s">
        <v>1534</v>
      </c>
      <c r="E133" s="1" t="s">
        <v>32</v>
      </c>
      <c r="F133" s="1" t="s">
        <v>331</v>
      </c>
      <c r="G133" s="1" t="s">
        <v>331</v>
      </c>
      <c r="H133" s="1"/>
      <c r="I133" s="1" t="s">
        <v>10</v>
      </c>
      <c r="J133" s="1" t="s">
        <v>19</v>
      </c>
      <c r="K133" s="1" t="s">
        <v>18</v>
      </c>
    </row>
    <row r="134" spans="1:11" x14ac:dyDescent="0.25">
      <c r="A134" s="1" t="s">
        <v>360</v>
      </c>
      <c r="B134" s="1" t="s">
        <v>361</v>
      </c>
      <c r="C134" s="1" t="s">
        <v>322</v>
      </c>
      <c r="D134" s="1" t="s">
        <v>315</v>
      </c>
      <c r="E134" s="1" t="s">
        <v>32</v>
      </c>
      <c r="F134" s="1" t="s">
        <v>331</v>
      </c>
      <c r="G134" s="1" t="s">
        <v>331</v>
      </c>
      <c r="H134" s="1"/>
      <c r="I134" s="1" t="s">
        <v>10</v>
      </c>
      <c r="J134" s="1" t="s">
        <v>19</v>
      </c>
      <c r="K134" s="1" t="s">
        <v>18</v>
      </c>
    </row>
    <row r="135" spans="1:11" x14ac:dyDescent="0.25">
      <c r="A135" s="1" t="s">
        <v>362</v>
      </c>
      <c r="B135" s="1" t="s">
        <v>363</v>
      </c>
      <c r="C135" s="1" t="s">
        <v>1041</v>
      </c>
      <c r="D135" s="1" t="s">
        <v>1605</v>
      </c>
      <c r="E135" s="1" t="s">
        <v>32</v>
      </c>
      <c r="F135" s="1" t="s">
        <v>308</v>
      </c>
      <c r="G135" s="1" t="s">
        <v>308</v>
      </c>
      <c r="H135" s="1"/>
      <c r="I135" s="1" t="s">
        <v>10</v>
      </c>
      <c r="J135" s="1" t="s">
        <v>19</v>
      </c>
      <c r="K135" s="1" t="s">
        <v>18</v>
      </c>
    </row>
    <row r="136" spans="1:11" x14ac:dyDescent="0.25">
      <c r="A136" s="1" t="s">
        <v>364</v>
      </c>
      <c r="B136" s="1" t="s">
        <v>365</v>
      </c>
      <c r="C136" s="1" t="s">
        <v>322</v>
      </c>
      <c r="D136" s="1" t="s">
        <v>1551</v>
      </c>
      <c r="E136" s="1" t="s">
        <v>32</v>
      </c>
      <c r="F136" s="1" t="s">
        <v>331</v>
      </c>
      <c r="G136" s="1" t="s">
        <v>331</v>
      </c>
      <c r="H136" s="1"/>
      <c r="I136" s="1" t="s">
        <v>10</v>
      </c>
      <c r="J136" s="1" t="s">
        <v>19</v>
      </c>
      <c r="K136" s="1" t="s">
        <v>18</v>
      </c>
    </row>
    <row r="137" spans="1:11" x14ac:dyDescent="0.25">
      <c r="A137" s="1" t="s">
        <v>366</v>
      </c>
      <c r="B137" s="1" t="s">
        <v>367</v>
      </c>
      <c r="C137" s="1" t="s">
        <v>101</v>
      </c>
      <c r="D137" s="1" t="s">
        <v>1620</v>
      </c>
      <c r="E137" s="1" t="s">
        <v>32</v>
      </c>
      <c r="F137" s="1" t="s">
        <v>331</v>
      </c>
      <c r="G137" s="1" t="s">
        <v>331</v>
      </c>
      <c r="H137" s="1"/>
      <c r="I137" s="1" t="s">
        <v>10</v>
      </c>
      <c r="J137" s="1" t="s">
        <v>19</v>
      </c>
      <c r="K137" s="1" t="s">
        <v>18</v>
      </c>
    </row>
    <row r="138" spans="1:11" x14ac:dyDescent="0.25">
      <c r="A138" s="1" t="s">
        <v>368</v>
      </c>
      <c r="B138" s="1" t="s">
        <v>369</v>
      </c>
      <c r="C138" s="1" t="s">
        <v>54</v>
      </c>
      <c r="D138" s="1" t="s">
        <v>1216</v>
      </c>
      <c r="E138" s="1" t="s">
        <v>32</v>
      </c>
      <c r="F138" s="1" t="s">
        <v>331</v>
      </c>
      <c r="G138" s="1" t="s">
        <v>331</v>
      </c>
      <c r="H138" s="1"/>
      <c r="I138" s="1" t="s">
        <v>10</v>
      </c>
      <c r="J138" s="1" t="s">
        <v>19</v>
      </c>
      <c r="K138" s="1" t="s">
        <v>18</v>
      </c>
    </row>
    <row r="139" spans="1:11" x14ac:dyDescent="0.25">
      <c r="A139" s="1" t="s">
        <v>370</v>
      </c>
      <c r="B139" s="1" t="s">
        <v>371</v>
      </c>
      <c r="C139" s="1" t="s">
        <v>97</v>
      </c>
      <c r="D139" s="1" t="s">
        <v>1621</v>
      </c>
      <c r="E139" s="1" t="s">
        <v>32</v>
      </c>
      <c r="F139" s="1" t="s">
        <v>331</v>
      </c>
      <c r="G139" s="1" t="s">
        <v>331</v>
      </c>
      <c r="H139" s="1"/>
      <c r="I139" s="1" t="s">
        <v>10</v>
      </c>
      <c r="J139" s="1" t="s">
        <v>19</v>
      </c>
      <c r="K139" s="1" t="s">
        <v>18</v>
      </c>
    </row>
    <row r="140" spans="1:11" x14ac:dyDescent="0.25">
      <c r="A140" s="1" t="s">
        <v>372</v>
      </c>
      <c r="B140" s="1" t="s">
        <v>373</v>
      </c>
      <c r="C140" s="1" t="s">
        <v>336</v>
      </c>
      <c r="D140" s="1" t="s">
        <v>1622</v>
      </c>
      <c r="E140" s="1" t="s">
        <v>32</v>
      </c>
      <c r="F140" s="1" t="s">
        <v>331</v>
      </c>
      <c r="G140" s="1" t="s">
        <v>331</v>
      </c>
      <c r="H140" s="1"/>
      <c r="I140" s="1" t="s">
        <v>10</v>
      </c>
      <c r="J140" s="1" t="s">
        <v>19</v>
      </c>
      <c r="K140" s="1" t="s">
        <v>18</v>
      </c>
    </row>
    <row r="141" spans="1:11" x14ac:dyDescent="0.25">
      <c r="A141" s="1" t="s">
        <v>374</v>
      </c>
      <c r="B141" s="1" t="s">
        <v>375</v>
      </c>
      <c r="C141" s="1" t="s">
        <v>336</v>
      </c>
      <c r="D141" s="1" t="s">
        <v>1623</v>
      </c>
      <c r="E141" s="1" t="s">
        <v>32</v>
      </c>
      <c r="F141" s="1" t="s">
        <v>331</v>
      </c>
      <c r="G141" s="1" t="s">
        <v>331</v>
      </c>
      <c r="H141" s="1"/>
      <c r="I141" s="1" t="s">
        <v>10</v>
      </c>
      <c r="J141" s="1" t="s">
        <v>19</v>
      </c>
      <c r="K141" s="1" t="s">
        <v>18</v>
      </c>
    </row>
    <row r="142" spans="1:11" x14ac:dyDescent="0.25">
      <c r="A142" s="1" t="s">
        <v>376</v>
      </c>
      <c r="B142" s="1" t="s">
        <v>377</v>
      </c>
      <c r="C142" s="1" t="s">
        <v>336</v>
      </c>
      <c r="D142" s="1" t="s">
        <v>378</v>
      </c>
      <c r="E142" s="1" t="s">
        <v>32</v>
      </c>
      <c r="F142" s="1" t="s">
        <v>331</v>
      </c>
      <c r="G142" s="1" t="s">
        <v>331</v>
      </c>
      <c r="H142" s="1"/>
      <c r="I142" s="1" t="s">
        <v>10</v>
      </c>
      <c r="J142" s="1" t="s">
        <v>19</v>
      </c>
      <c r="K142" s="1" t="s">
        <v>18</v>
      </c>
    </row>
    <row r="143" spans="1:11" x14ac:dyDescent="0.25">
      <c r="A143" s="1" t="s">
        <v>379</v>
      </c>
      <c r="B143" s="1" t="s">
        <v>380</v>
      </c>
      <c r="C143" s="1" t="s">
        <v>149</v>
      </c>
      <c r="D143" s="1" t="s">
        <v>1624</v>
      </c>
      <c r="E143" s="1" t="s">
        <v>32</v>
      </c>
      <c r="F143" s="1" t="s">
        <v>331</v>
      </c>
      <c r="G143" s="1" t="s">
        <v>331</v>
      </c>
      <c r="H143" s="1"/>
      <c r="I143" s="1" t="s">
        <v>10</v>
      </c>
      <c r="J143" s="1" t="s">
        <v>19</v>
      </c>
      <c r="K143" s="1" t="s">
        <v>18</v>
      </c>
    </row>
    <row r="144" spans="1:11" x14ac:dyDescent="0.25">
      <c r="A144" s="1" t="s">
        <v>381</v>
      </c>
      <c r="B144" s="1" t="s">
        <v>382</v>
      </c>
      <c r="C144" s="1" t="s">
        <v>149</v>
      </c>
      <c r="D144" s="1" t="s">
        <v>1625</v>
      </c>
      <c r="E144" s="1" t="s">
        <v>32</v>
      </c>
      <c r="F144" s="1" t="s">
        <v>331</v>
      </c>
      <c r="G144" s="1" t="s">
        <v>331</v>
      </c>
      <c r="H144" s="1"/>
      <c r="I144" s="1" t="s">
        <v>10</v>
      </c>
      <c r="J144" s="1" t="s">
        <v>19</v>
      </c>
      <c r="K144" s="1" t="s">
        <v>18</v>
      </c>
    </row>
    <row r="145" spans="1:11" x14ac:dyDescent="0.25">
      <c r="A145" s="1" t="s">
        <v>384</v>
      </c>
      <c r="B145" s="1" t="s">
        <v>385</v>
      </c>
      <c r="C145" s="1" t="s">
        <v>974</v>
      </c>
      <c r="D145" s="1" t="s">
        <v>1626</v>
      </c>
      <c r="E145" s="1" t="s">
        <v>32</v>
      </c>
      <c r="F145" s="1" t="s">
        <v>331</v>
      </c>
      <c r="G145" s="1" t="s">
        <v>331</v>
      </c>
      <c r="H145" s="1"/>
      <c r="I145" s="1" t="s">
        <v>10</v>
      </c>
      <c r="J145" s="1" t="s">
        <v>19</v>
      </c>
      <c r="K145" s="1" t="s">
        <v>18</v>
      </c>
    </row>
    <row r="146" spans="1:11" x14ac:dyDescent="0.25">
      <c r="A146" s="1" t="s">
        <v>386</v>
      </c>
      <c r="B146" s="1" t="s">
        <v>387</v>
      </c>
      <c r="C146" s="1" t="s">
        <v>43</v>
      </c>
      <c r="D146" s="1" t="s">
        <v>1627</v>
      </c>
      <c r="E146" s="1" t="s">
        <v>32</v>
      </c>
      <c r="F146" s="1" t="s">
        <v>331</v>
      </c>
      <c r="G146" s="1" t="s">
        <v>331</v>
      </c>
      <c r="H146" s="1"/>
      <c r="I146" s="1" t="s">
        <v>10</v>
      </c>
      <c r="J146" s="1" t="s">
        <v>19</v>
      </c>
      <c r="K146" s="1" t="s">
        <v>18</v>
      </c>
    </row>
    <row r="147" spans="1:11" x14ac:dyDescent="0.25">
      <c r="A147" s="1" t="s">
        <v>388</v>
      </c>
      <c r="B147" s="1" t="s">
        <v>389</v>
      </c>
      <c r="C147" s="1" t="s">
        <v>141</v>
      </c>
      <c r="D147" s="1" t="s">
        <v>1628</v>
      </c>
      <c r="E147" s="1" t="s">
        <v>32</v>
      </c>
      <c r="F147" s="1" t="s">
        <v>331</v>
      </c>
      <c r="G147" s="1" t="s">
        <v>331</v>
      </c>
      <c r="H147" s="1"/>
      <c r="I147" s="1" t="s">
        <v>10</v>
      </c>
      <c r="J147" s="1" t="s">
        <v>19</v>
      </c>
      <c r="K147" s="1" t="s">
        <v>18</v>
      </c>
    </row>
    <row r="148" spans="1:11" x14ac:dyDescent="0.25">
      <c r="A148" s="1" t="s">
        <v>390</v>
      </c>
      <c r="B148" s="1" t="s">
        <v>391</v>
      </c>
      <c r="C148" s="1" t="s">
        <v>29</v>
      </c>
      <c r="D148" s="1" t="s">
        <v>1629</v>
      </c>
      <c r="E148" s="1" t="s">
        <v>32</v>
      </c>
      <c r="F148" s="1" t="s">
        <v>331</v>
      </c>
      <c r="G148" s="1" t="s">
        <v>331</v>
      </c>
      <c r="H148" s="1"/>
      <c r="I148" s="1" t="s">
        <v>10</v>
      </c>
      <c r="J148" s="1" t="s">
        <v>19</v>
      </c>
      <c r="K148" s="1" t="s">
        <v>18</v>
      </c>
    </row>
    <row r="149" spans="1:11" x14ac:dyDescent="0.25">
      <c r="A149" s="1" t="s">
        <v>392</v>
      </c>
      <c r="B149" s="1" t="s">
        <v>393</v>
      </c>
      <c r="C149" s="1" t="s">
        <v>336</v>
      </c>
      <c r="D149" s="1" t="s">
        <v>394</v>
      </c>
      <c r="E149" s="1" t="s">
        <v>32</v>
      </c>
      <c r="F149" s="1" t="s">
        <v>331</v>
      </c>
      <c r="G149" s="1" t="s">
        <v>331</v>
      </c>
      <c r="H149" s="1"/>
      <c r="I149" s="1" t="s">
        <v>10</v>
      </c>
      <c r="J149" s="1" t="s">
        <v>19</v>
      </c>
      <c r="K149" s="1" t="s">
        <v>18</v>
      </c>
    </row>
    <row r="150" spans="1:11" x14ac:dyDescent="0.25">
      <c r="A150" s="1" t="s">
        <v>395</v>
      </c>
      <c r="B150" s="1" t="s">
        <v>396</v>
      </c>
      <c r="C150" s="1" t="s">
        <v>322</v>
      </c>
      <c r="D150" s="1" t="s">
        <v>1544</v>
      </c>
      <c r="E150" s="1" t="s">
        <v>32</v>
      </c>
      <c r="F150" s="1" t="s">
        <v>331</v>
      </c>
      <c r="G150" s="1" t="s">
        <v>331</v>
      </c>
      <c r="H150" s="1"/>
      <c r="I150" s="1" t="s">
        <v>10</v>
      </c>
      <c r="J150" s="1" t="s">
        <v>19</v>
      </c>
      <c r="K150" s="1" t="s">
        <v>18</v>
      </c>
    </row>
    <row r="151" spans="1:11" x14ac:dyDescent="0.25">
      <c r="A151" s="1" t="s">
        <v>397</v>
      </c>
      <c r="B151" s="1" t="s">
        <v>398</v>
      </c>
      <c r="C151" s="1" t="s">
        <v>219</v>
      </c>
      <c r="D151" s="1" t="s">
        <v>1544</v>
      </c>
      <c r="E151" s="1" t="s">
        <v>32</v>
      </c>
      <c r="F151" s="1" t="s">
        <v>40</v>
      </c>
      <c r="G151" s="1" t="s">
        <v>40</v>
      </c>
      <c r="H151" s="1"/>
      <c r="I151" s="1" t="s">
        <v>10</v>
      </c>
      <c r="J151" s="1" t="s">
        <v>19</v>
      </c>
      <c r="K151" s="1" t="s">
        <v>18</v>
      </c>
    </row>
    <row r="152" spans="1:11" x14ac:dyDescent="0.25">
      <c r="A152" s="1" t="s">
        <v>399</v>
      </c>
      <c r="B152" s="1" t="s">
        <v>400</v>
      </c>
      <c r="C152" s="1" t="s">
        <v>29</v>
      </c>
      <c r="D152" s="1" t="s">
        <v>623</v>
      </c>
      <c r="E152" s="1" t="s">
        <v>32</v>
      </c>
      <c r="F152" s="1" t="s">
        <v>331</v>
      </c>
      <c r="G152" s="1" t="s">
        <v>331</v>
      </c>
      <c r="H152" s="1"/>
      <c r="I152" s="1" t="s">
        <v>10</v>
      </c>
      <c r="J152" s="1" t="s">
        <v>19</v>
      </c>
      <c r="K152" s="1" t="s">
        <v>18</v>
      </c>
    </row>
    <row r="153" spans="1:11" x14ac:dyDescent="0.25">
      <c r="A153" s="1" t="s">
        <v>401</v>
      </c>
      <c r="B153" s="1" t="s">
        <v>402</v>
      </c>
      <c r="C153" s="1" t="s">
        <v>31</v>
      </c>
      <c r="D153" s="1" t="s">
        <v>1630</v>
      </c>
      <c r="E153" s="1" t="s">
        <v>32</v>
      </c>
      <c r="F153" s="1" t="s">
        <v>331</v>
      </c>
      <c r="G153" s="1" t="s">
        <v>331</v>
      </c>
      <c r="H153" s="1"/>
      <c r="I153" s="1" t="s">
        <v>10</v>
      </c>
      <c r="J153" s="1" t="s">
        <v>19</v>
      </c>
      <c r="K153" s="1" t="s">
        <v>18</v>
      </c>
    </row>
    <row r="154" spans="1:11" x14ac:dyDescent="0.25">
      <c r="A154" s="1" t="s">
        <v>403</v>
      </c>
      <c r="B154" s="1" t="s">
        <v>404</v>
      </c>
      <c r="C154" s="1" t="s">
        <v>336</v>
      </c>
      <c r="D154" s="1" t="s">
        <v>1631</v>
      </c>
      <c r="E154" s="1" t="s">
        <v>32</v>
      </c>
      <c r="F154" s="1" t="s">
        <v>331</v>
      </c>
      <c r="G154" s="1" t="s">
        <v>331</v>
      </c>
      <c r="H154" s="1"/>
      <c r="I154" s="1" t="s">
        <v>10</v>
      </c>
      <c r="J154" s="1" t="s">
        <v>19</v>
      </c>
      <c r="K154" s="1" t="s">
        <v>18</v>
      </c>
    </row>
    <row r="155" spans="1:11" x14ac:dyDescent="0.25">
      <c r="A155" s="1" t="s">
        <v>406</v>
      </c>
      <c r="B155" s="1" t="s">
        <v>407</v>
      </c>
      <c r="C155" s="1" t="s">
        <v>29</v>
      </c>
      <c r="D155" s="1" t="s">
        <v>1632</v>
      </c>
      <c r="E155" s="1" t="s">
        <v>32</v>
      </c>
      <c r="F155" s="1" t="s">
        <v>331</v>
      </c>
      <c r="G155" s="1" t="s">
        <v>331</v>
      </c>
      <c r="H155" s="1"/>
      <c r="I155" s="1" t="s">
        <v>10</v>
      </c>
      <c r="J155" s="1" t="s">
        <v>19</v>
      </c>
      <c r="K155" s="1" t="s">
        <v>18</v>
      </c>
    </row>
    <row r="156" spans="1:11" x14ac:dyDescent="0.25">
      <c r="A156" s="1" t="s">
        <v>408</v>
      </c>
      <c r="B156" s="1" t="s">
        <v>409</v>
      </c>
      <c r="C156" s="1" t="s">
        <v>219</v>
      </c>
      <c r="D156" s="1" t="s">
        <v>1633</v>
      </c>
      <c r="E156" s="1" t="s">
        <v>32</v>
      </c>
      <c r="F156" s="1" t="s">
        <v>331</v>
      </c>
      <c r="G156" s="1" t="s">
        <v>331</v>
      </c>
      <c r="H156" s="1"/>
      <c r="I156" s="1" t="s">
        <v>10</v>
      </c>
      <c r="J156" s="1" t="s">
        <v>19</v>
      </c>
      <c r="K156" s="1" t="s">
        <v>18</v>
      </c>
    </row>
    <row r="157" spans="1:11" x14ac:dyDescent="0.25">
      <c r="A157" s="1" t="s">
        <v>410</v>
      </c>
      <c r="B157" s="1" t="s">
        <v>411</v>
      </c>
      <c r="C157" s="1" t="s">
        <v>344</v>
      </c>
      <c r="D157" s="1" t="s">
        <v>412</v>
      </c>
      <c r="E157" s="1" t="s">
        <v>34</v>
      </c>
      <c r="F157" s="1" t="s">
        <v>40</v>
      </c>
      <c r="G157" s="1" t="s">
        <v>40</v>
      </c>
      <c r="H157" s="1"/>
      <c r="I157" s="1"/>
      <c r="J157" s="1" t="s">
        <v>19</v>
      </c>
      <c r="K157" s="1" t="s">
        <v>18</v>
      </c>
    </row>
    <row r="158" spans="1:11" x14ac:dyDescent="0.25">
      <c r="A158" s="1" t="s">
        <v>413</v>
      </c>
      <c r="B158" s="1" t="s">
        <v>414</v>
      </c>
      <c r="C158" s="1" t="s">
        <v>70</v>
      </c>
      <c r="D158" s="1" t="s">
        <v>1634</v>
      </c>
      <c r="E158" s="1" t="s">
        <v>34</v>
      </c>
      <c r="F158" s="1" t="s">
        <v>40</v>
      </c>
      <c r="G158" s="1" t="s">
        <v>40</v>
      </c>
      <c r="H158" s="1"/>
      <c r="I158" s="1"/>
      <c r="J158" s="1" t="s">
        <v>19</v>
      </c>
      <c r="K158" s="1" t="s">
        <v>18</v>
      </c>
    </row>
    <row r="159" spans="1:11" x14ac:dyDescent="0.25">
      <c r="A159" s="1" t="s">
        <v>416</v>
      </c>
      <c r="B159" s="1" t="s">
        <v>417</v>
      </c>
      <c r="C159" s="1" t="s">
        <v>28</v>
      </c>
      <c r="D159" s="1" t="s">
        <v>1635</v>
      </c>
      <c r="E159" s="1" t="s">
        <v>34</v>
      </c>
      <c r="F159" s="1" t="s">
        <v>40</v>
      </c>
      <c r="G159" s="1" t="s">
        <v>40</v>
      </c>
      <c r="H159" s="1"/>
      <c r="I159" s="1"/>
      <c r="J159" s="1" t="s">
        <v>19</v>
      </c>
      <c r="K159" s="1" t="s">
        <v>18</v>
      </c>
    </row>
    <row r="160" spans="1:11" x14ac:dyDescent="0.25">
      <c r="A160" s="1" t="s">
        <v>418</v>
      </c>
      <c r="B160" s="1" t="s">
        <v>419</v>
      </c>
      <c r="C160" s="1" t="s">
        <v>109</v>
      </c>
      <c r="D160" s="1" t="s">
        <v>1555</v>
      </c>
      <c r="E160" s="1" t="s">
        <v>34</v>
      </c>
      <c r="F160" s="1" t="s">
        <v>40</v>
      </c>
      <c r="G160" s="1" t="s">
        <v>40</v>
      </c>
      <c r="H160" s="1"/>
      <c r="I160" s="1"/>
      <c r="J160" s="1" t="s">
        <v>19</v>
      </c>
      <c r="K160" s="1" t="s">
        <v>18</v>
      </c>
    </row>
    <row r="161" spans="1:11" x14ac:dyDescent="0.25">
      <c r="A161" s="1" t="s">
        <v>420</v>
      </c>
      <c r="B161" s="1" t="s">
        <v>421</v>
      </c>
      <c r="C161" s="1" t="s">
        <v>63</v>
      </c>
      <c r="D161" s="1" t="s">
        <v>1636</v>
      </c>
      <c r="E161" s="1" t="s">
        <v>34</v>
      </c>
      <c r="F161" s="1" t="s">
        <v>37</v>
      </c>
      <c r="G161" s="1" t="s">
        <v>37</v>
      </c>
      <c r="H161" s="1"/>
      <c r="I161" s="1"/>
      <c r="J161" s="1" t="s">
        <v>19</v>
      </c>
      <c r="K161" s="1" t="s">
        <v>18</v>
      </c>
    </row>
    <row r="162" spans="1:11" x14ac:dyDescent="0.25">
      <c r="A162" s="1" t="s">
        <v>422</v>
      </c>
      <c r="B162" s="1" t="s">
        <v>423</v>
      </c>
      <c r="C162" s="1" t="s">
        <v>109</v>
      </c>
      <c r="D162" s="1" t="s">
        <v>1637</v>
      </c>
      <c r="E162" s="1" t="s">
        <v>34</v>
      </c>
      <c r="F162" s="1" t="s">
        <v>424</v>
      </c>
      <c r="G162" s="1" t="s">
        <v>424</v>
      </c>
      <c r="H162" s="1" t="s">
        <v>425</v>
      </c>
      <c r="I162" s="1" t="s">
        <v>10</v>
      </c>
      <c r="J162" s="1" t="s">
        <v>19</v>
      </c>
      <c r="K162" s="1" t="s">
        <v>18</v>
      </c>
    </row>
    <row r="163" spans="1:11" x14ac:dyDescent="0.25">
      <c r="A163" s="1" t="s">
        <v>426</v>
      </c>
      <c r="B163" s="1" t="s">
        <v>427</v>
      </c>
      <c r="C163" s="1" t="s">
        <v>109</v>
      </c>
      <c r="D163" s="1" t="s">
        <v>1638</v>
      </c>
      <c r="E163" s="1" t="s">
        <v>34</v>
      </c>
      <c r="F163" s="1" t="s">
        <v>37</v>
      </c>
      <c r="G163" s="1" t="s">
        <v>37</v>
      </c>
      <c r="H163" s="1"/>
      <c r="I163" s="1"/>
      <c r="J163" s="1" t="s">
        <v>19</v>
      </c>
      <c r="K163" s="1" t="s">
        <v>18</v>
      </c>
    </row>
    <row r="164" spans="1:11" x14ac:dyDescent="0.25">
      <c r="A164" s="1" t="s">
        <v>428</v>
      </c>
      <c r="B164" s="1" t="s">
        <v>429</v>
      </c>
      <c r="C164" s="1" t="s">
        <v>28</v>
      </c>
      <c r="D164" s="1" t="s">
        <v>1639</v>
      </c>
      <c r="E164" s="1" t="s">
        <v>34</v>
      </c>
      <c r="F164" s="1" t="s">
        <v>37</v>
      </c>
      <c r="G164" s="1" t="s">
        <v>37</v>
      </c>
      <c r="H164" s="1"/>
      <c r="I164" s="1"/>
      <c r="J164" s="1" t="s">
        <v>19</v>
      </c>
      <c r="K164" s="1" t="s">
        <v>18</v>
      </c>
    </row>
    <row r="165" spans="1:11" x14ac:dyDescent="0.25">
      <c r="A165" s="1" t="s">
        <v>431</v>
      </c>
      <c r="B165" s="1" t="s">
        <v>432</v>
      </c>
      <c r="C165" s="1" t="s">
        <v>50</v>
      </c>
      <c r="D165" s="1" t="s">
        <v>1640</v>
      </c>
      <c r="E165" s="1" t="s">
        <v>34</v>
      </c>
      <c r="F165" s="1" t="s">
        <v>424</v>
      </c>
      <c r="G165" s="1" t="s">
        <v>424</v>
      </c>
      <c r="H165" s="1" t="s">
        <v>433</v>
      </c>
      <c r="I165" s="1" t="s">
        <v>10</v>
      </c>
      <c r="J165" s="1" t="s">
        <v>19</v>
      </c>
      <c r="K165" s="1" t="s">
        <v>18</v>
      </c>
    </row>
    <row r="166" spans="1:11" x14ac:dyDescent="0.25">
      <c r="A166" s="1" t="s">
        <v>434</v>
      </c>
      <c r="B166" s="1" t="s">
        <v>435</v>
      </c>
      <c r="C166" s="1" t="s">
        <v>29</v>
      </c>
      <c r="D166" s="1" t="s">
        <v>1641</v>
      </c>
      <c r="E166" s="1" t="s">
        <v>34</v>
      </c>
      <c r="F166" s="1" t="s">
        <v>37</v>
      </c>
      <c r="G166" s="1" t="s">
        <v>37</v>
      </c>
      <c r="H166" s="1"/>
      <c r="I166" s="1"/>
      <c r="J166" s="1" t="s">
        <v>19</v>
      </c>
      <c r="K166" s="1" t="s">
        <v>18</v>
      </c>
    </row>
    <row r="167" spans="1:11" x14ac:dyDescent="0.25">
      <c r="A167" s="1" t="s">
        <v>436</v>
      </c>
      <c r="B167" s="1" t="s">
        <v>437</v>
      </c>
      <c r="C167" s="1" t="s">
        <v>70</v>
      </c>
      <c r="D167" s="1" t="s">
        <v>1642</v>
      </c>
      <c r="E167" s="1" t="s">
        <v>34</v>
      </c>
      <c r="F167" s="1" t="s">
        <v>37</v>
      </c>
      <c r="G167" s="1" t="s">
        <v>37</v>
      </c>
      <c r="H167" s="1"/>
      <c r="I167" s="1"/>
      <c r="J167" s="1" t="s">
        <v>19</v>
      </c>
      <c r="K167" s="1" t="s">
        <v>18</v>
      </c>
    </row>
    <row r="168" spans="1:11" x14ac:dyDescent="0.25">
      <c r="A168" s="1" t="s">
        <v>438</v>
      </c>
      <c r="B168" s="1" t="s">
        <v>439</v>
      </c>
      <c r="C168" s="1" t="s">
        <v>28</v>
      </c>
      <c r="D168" s="1" t="s">
        <v>1530</v>
      </c>
      <c r="E168" s="1" t="s">
        <v>34</v>
      </c>
      <c r="F168" s="1" t="s">
        <v>40</v>
      </c>
      <c r="G168" s="1" t="s">
        <v>40</v>
      </c>
      <c r="H168" s="1"/>
      <c r="I168" s="1"/>
      <c r="J168" s="1" t="s">
        <v>19</v>
      </c>
      <c r="K168" s="1" t="s">
        <v>18</v>
      </c>
    </row>
    <row r="169" spans="1:11" x14ac:dyDescent="0.25">
      <c r="A169" s="1" t="s">
        <v>440</v>
      </c>
      <c r="B169" s="1" t="s">
        <v>441</v>
      </c>
      <c r="C169" s="1" t="s">
        <v>63</v>
      </c>
      <c r="D169" s="1" t="s">
        <v>1643</v>
      </c>
      <c r="E169" s="1" t="s">
        <v>34</v>
      </c>
      <c r="F169" s="1" t="s">
        <v>40</v>
      </c>
      <c r="G169" s="1" t="s">
        <v>40</v>
      </c>
      <c r="H169" s="1" t="s">
        <v>442</v>
      </c>
      <c r="I169" s="1" t="s">
        <v>10</v>
      </c>
      <c r="J169" s="1" t="s">
        <v>19</v>
      </c>
      <c r="K169" s="1" t="s">
        <v>18</v>
      </c>
    </row>
    <row r="170" spans="1:11" x14ac:dyDescent="0.25">
      <c r="A170" s="1" t="s">
        <v>443</v>
      </c>
      <c r="B170" s="1" t="s">
        <v>444</v>
      </c>
      <c r="C170" s="1" t="s">
        <v>50</v>
      </c>
      <c r="D170" s="1" t="s">
        <v>315</v>
      </c>
      <c r="E170" s="1" t="s">
        <v>34</v>
      </c>
      <c r="F170" s="1" t="s">
        <v>424</v>
      </c>
      <c r="G170" s="1" t="s">
        <v>424</v>
      </c>
      <c r="H170" s="1" t="s">
        <v>445</v>
      </c>
      <c r="I170" s="1" t="s">
        <v>10</v>
      </c>
      <c r="J170" s="1" t="s">
        <v>19</v>
      </c>
      <c r="K170" s="1" t="s">
        <v>18</v>
      </c>
    </row>
    <row r="171" spans="1:11" x14ac:dyDescent="0.25">
      <c r="A171" s="1" t="s">
        <v>446</v>
      </c>
      <c r="B171" s="1" t="s">
        <v>447</v>
      </c>
      <c r="C171" s="1" t="s">
        <v>97</v>
      </c>
      <c r="D171" s="1" t="s">
        <v>448</v>
      </c>
      <c r="E171" s="1" t="s">
        <v>34</v>
      </c>
      <c r="F171" s="1" t="s">
        <v>424</v>
      </c>
      <c r="G171" s="1" t="s">
        <v>424</v>
      </c>
      <c r="H171" s="1" t="s">
        <v>449</v>
      </c>
      <c r="I171" s="1" t="s">
        <v>10</v>
      </c>
      <c r="J171" s="1" t="s">
        <v>19</v>
      </c>
      <c r="K171" s="1" t="s">
        <v>18</v>
      </c>
    </row>
    <row r="172" spans="1:11" x14ac:dyDescent="0.25">
      <c r="A172" s="1" t="s">
        <v>450</v>
      </c>
      <c r="B172" s="1" t="s">
        <v>451</v>
      </c>
      <c r="C172" s="1" t="s">
        <v>70</v>
      </c>
      <c r="D172" s="1" t="s">
        <v>1610</v>
      </c>
      <c r="E172" s="1" t="s">
        <v>34</v>
      </c>
      <c r="F172" s="1" t="s">
        <v>37</v>
      </c>
      <c r="G172" s="1" t="s">
        <v>37</v>
      </c>
      <c r="H172" s="1"/>
      <c r="I172" s="1"/>
      <c r="J172" s="1" t="s">
        <v>19</v>
      </c>
      <c r="K172" s="1" t="s">
        <v>18</v>
      </c>
    </row>
    <row r="173" spans="1:11" x14ac:dyDescent="0.25">
      <c r="A173" s="1" t="s">
        <v>452</v>
      </c>
      <c r="B173" s="1" t="s">
        <v>453</v>
      </c>
      <c r="C173" s="1" t="s">
        <v>28</v>
      </c>
      <c r="D173" s="1" t="s">
        <v>454</v>
      </c>
      <c r="E173" s="1" t="s">
        <v>34</v>
      </c>
      <c r="F173" s="1" t="s">
        <v>37</v>
      </c>
      <c r="G173" s="1" t="s">
        <v>37</v>
      </c>
      <c r="H173" s="1"/>
      <c r="I173" s="1"/>
      <c r="J173" s="1" t="s">
        <v>19</v>
      </c>
      <c r="K173" s="1" t="s">
        <v>18</v>
      </c>
    </row>
    <row r="174" spans="1:11" x14ac:dyDescent="0.25">
      <c r="A174" s="1" t="s">
        <v>455</v>
      </c>
      <c r="B174" s="1" t="s">
        <v>456</v>
      </c>
      <c r="C174" s="1" t="s">
        <v>28</v>
      </c>
      <c r="D174" s="1" t="s">
        <v>1644</v>
      </c>
      <c r="E174" s="1" t="s">
        <v>34</v>
      </c>
      <c r="F174" s="1" t="s">
        <v>37</v>
      </c>
      <c r="G174" s="1" t="s">
        <v>37</v>
      </c>
      <c r="H174" s="1"/>
      <c r="I174" s="1"/>
      <c r="J174" s="1" t="s">
        <v>19</v>
      </c>
      <c r="K174" s="1" t="s">
        <v>18</v>
      </c>
    </row>
    <row r="175" spans="1:11" x14ac:dyDescent="0.25">
      <c r="A175" s="1" t="s">
        <v>457</v>
      </c>
      <c r="B175" s="1" t="s">
        <v>458</v>
      </c>
      <c r="C175" s="1" t="s">
        <v>97</v>
      </c>
      <c r="D175" s="1" t="s">
        <v>1645</v>
      </c>
      <c r="E175" s="1" t="s">
        <v>34</v>
      </c>
      <c r="F175" s="1" t="s">
        <v>424</v>
      </c>
      <c r="G175" s="1" t="s">
        <v>424</v>
      </c>
      <c r="H175" s="1" t="s">
        <v>459</v>
      </c>
      <c r="I175" s="1" t="s">
        <v>10</v>
      </c>
      <c r="J175" s="1" t="s">
        <v>19</v>
      </c>
      <c r="K175" s="1" t="s">
        <v>18</v>
      </c>
    </row>
    <row r="176" spans="1:11" x14ac:dyDescent="0.25">
      <c r="A176" s="1" t="s">
        <v>460</v>
      </c>
      <c r="B176" s="1" t="s">
        <v>461</v>
      </c>
      <c r="C176" s="1" t="s">
        <v>54</v>
      </c>
      <c r="D176" s="1" t="s">
        <v>1525</v>
      </c>
      <c r="E176" s="1" t="s">
        <v>34</v>
      </c>
      <c r="F176" s="1" t="s">
        <v>40</v>
      </c>
      <c r="G176" s="1" t="s">
        <v>40</v>
      </c>
      <c r="H176" s="1" t="s">
        <v>462</v>
      </c>
      <c r="I176" s="1" t="s">
        <v>10</v>
      </c>
      <c r="J176" s="1" t="s">
        <v>19</v>
      </c>
      <c r="K176" s="1" t="s">
        <v>18</v>
      </c>
    </row>
    <row r="177" spans="1:11" x14ac:dyDescent="0.25">
      <c r="A177" s="1" t="s">
        <v>463</v>
      </c>
      <c r="B177" s="1" t="s">
        <v>464</v>
      </c>
      <c r="C177" s="1" t="s">
        <v>31</v>
      </c>
      <c r="D177" s="1" t="s">
        <v>465</v>
      </c>
      <c r="E177" s="1" t="s">
        <v>34</v>
      </c>
      <c r="F177" s="1" t="s">
        <v>424</v>
      </c>
      <c r="G177" s="1" t="s">
        <v>424</v>
      </c>
      <c r="H177" s="1" t="s">
        <v>466</v>
      </c>
      <c r="I177" s="1" t="s">
        <v>10</v>
      </c>
      <c r="J177" s="1" t="s">
        <v>19</v>
      </c>
      <c r="K177" s="1" t="s">
        <v>18</v>
      </c>
    </row>
    <row r="178" spans="1:11" x14ac:dyDescent="0.25">
      <c r="A178" s="1" t="s">
        <v>467</v>
      </c>
      <c r="B178" s="1" t="s">
        <v>468</v>
      </c>
      <c r="C178" s="1" t="s">
        <v>322</v>
      </c>
      <c r="D178" s="1" t="s">
        <v>1636</v>
      </c>
      <c r="E178" s="1" t="s">
        <v>34</v>
      </c>
      <c r="F178" s="1" t="s">
        <v>37</v>
      </c>
      <c r="G178" s="1" t="s">
        <v>37</v>
      </c>
      <c r="H178" s="1" t="s">
        <v>469</v>
      </c>
      <c r="I178" s="1"/>
      <c r="J178" s="1" t="s">
        <v>19</v>
      </c>
      <c r="K178" s="1" t="s">
        <v>18</v>
      </c>
    </row>
    <row r="179" spans="1:11" x14ac:dyDescent="0.25">
      <c r="A179" s="1" t="s">
        <v>470</v>
      </c>
      <c r="B179" s="1" t="s">
        <v>471</v>
      </c>
      <c r="C179" s="1" t="s">
        <v>28</v>
      </c>
      <c r="D179" s="1" t="s">
        <v>1646</v>
      </c>
      <c r="E179" s="1" t="s">
        <v>34</v>
      </c>
      <c r="F179" s="1" t="s">
        <v>40</v>
      </c>
      <c r="G179" s="1" t="s">
        <v>40</v>
      </c>
      <c r="H179" s="1" t="s">
        <v>472</v>
      </c>
      <c r="I179" s="1" t="s">
        <v>10</v>
      </c>
      <c r="J179" s="1" t="s">
        <v>19</v>
      </c>
      <c r="K179" s="1" t="s">
        <v>18</v>
      </c>
    </row>
    <row r="180" spans="1:11" x14ac:dyDescent="0.25">
      <c r="A180" s="1" t="s">
        <v>473</v>
      </c>
      <c r="B180" s="1" t="s">
        <v>474</v>
      </c>
      <c r="C180" s="1" t="s">
        <v>30</v>
      </c>
      <c r="D180" s="1" t="s">
        <v>475</v>
      </c>
      <c r="E180" s="1" t="s">
        <v>34</v>
      </c>
      <c r="F180" s="1" t="s">
        <v>308</v>
      </c>
      <c r="G180" s="1" t="s">
        <v>308</v>
      </c>
      <c r="H180" s="1" t="s">
        <v>476</v>
      </c>
      <c r="I180" s="1" t="s">
        <v>10</v>
      </c>
      <c r="J180" s="1" t="s">
        <v>19</v>
      </c>
      <c r="K180" s="1" t="s">
        <v>18</v>
      </c>
    </row>
    <row r="181" spans="1:11" x14ac:dyDescent="0.25">
      <c r="A181" s="1" t="s">
        <v>477</v>
      </c>
      <c r="B181" s="1" t="s">
        <v>478</v>
      </c>
      <c r="C181" s="1" t="s">
        <v>63</v>
      </c>
      <c r="D181" s="1" t="s">
        <v>1572</v>
      </c>
      <c r="E181" s="1" t="s">
        <v>34</v>
      </c>
      <c r="F181" s="1" t="s">
        <v>40</v>
      </c>
      <c r="G181" s="1" t="s">
        <v>40</v>
      </c>
      <c r="H181" s="1" t="s">
        <v>479</v>
      </c>
      <c r="I181" s="1" t="s">
        <v>10</v>
      </c>
      <c r="J181" s="1" t="s">
        <v>19</v>
      </c>
      <c r="K181" s="1" t="s">
        <v>18</v>
      </c>
    </row>
    <row r="182" spans="1:11" x14ac:dyDescent="0.25">
      <c r="A182" s="1" t="s">
        <v>480</v>
      </c>
      <c r="B182" s="1" t="s">
        <v>481</v>
      </c>
      <c r="C182" s="1" t="s">
        <v>31</v>
      </c>
      <c r="D182" s="1" t="s">
        <v>1647</v>
      </c>
      <c r="E182" s="1" t="s">
        <v>34</v>
      </c>
      <c r="F182" s="1" t="s">
        <v>424</v>
      </c>
      <c r="G182" s="1" t="s">
        <v>424</v>
      </c>
      <c r="H182" s="1" t="s">
        <v>482</v>
      </c>
      <c r="I182" s="1" t="s">
        <v>10</v>
      </c>
      <c r="J182" s="1" t="s">
        <v>19</v>
      </c>
      <c r="K182" s="1" t="s">
        <v>18</v>
      </c>
    </row>
    <row r="183" spans="1:11" x14ac:dyDescent="0.25">
      <c r="A183" s="1" t="s">
        <v>483</v>
      </c>
      <c r="B183" s="1" t="s">
        <v>484</v>
      </c>
      <c r="C183" s="1" t="s">
        <v>63</v>
      </c>
      <c r="D183" s="1" t="s">
        <v>1648</v>
      </c>
      <c r="E183" s="1" t="s">
        <v>34</v>
      </c>
      <c r="F183" s="1" t="s">
        <v>424</v>
      </c>
      <c r="G183" s="1" t="s">
        <v>424</v>
      </c>
      <c r="H183" s="1" t="s">
        <v>485</v>
      </c>
      <c r="I183" s="1" t="s">
        <v>10</v>
      </c>
      <c r="J183" s="1" t="s">
        <v>19</v>
      </c>
      <c r="K183" s="1" t="s">
        <v>18</v>
      </c>
    </row>
    <row r="184" spans="1:11" x14ac:dyDescent="0.25">
      <c r="A184" s="1" t="s">
        <v>486</v>
      </c>
      <c r="B184" s="1" t="s">
        <v>487</v>
      </c>
      <c r="C184" s="1" t="s">
        <v>1</v>
      </c>
      <c r="D184" s="1" t="s">
        <v>1649</v>
      </c>
      <c r="E184" s="1" t="s">
        <v>34</v>
      </c>
      <c r="F184" s="1" t="s">
        <v>40</v>
      </c>
      <c r="G184" s="1" t="s">
        <v>40</v>
      </c>
      <c r="H184" s="1"/>
      <c r="I184" s="1"/>
      <c r="J184" s="1" t="s">
        <v>19</v>
      </c>
      <c r="K184" s="1" t="s">
        <v>18</v>
      </c>
    </row>
    <row r="185" spans="1:11" x14ac:dyDescent="0.25">
      <c r="A185" s="1" t="s">
        <v>488</v>
      </c>
      <c r="B185" s="1" t="s">
        <v>489</v>
      </c>
      <c r="C185" s="1" t="s">
        <v>203</v>
      </c>
      <c r="D185" s="1" t="s">
        <v>1610</v>
      </c>
      <c r="E185" s="1" t="s">
        <v>34</v>
      </c>
      <c r="F185" s="1" t="s">
        <v>40</v>
      </c>
      <c r="G185" s="1" t="s">
        <v>40</v>
      </c>
      <c r="H185" s="1"/>
      <c r="I185" s="1"/>
      <c r="J185" s="1" t="s">
        <v>19</v>
      </c>
      <c r="K185" s="1" t="s">
        <v>18</v>
      </c>
    </row>
    <row r="186" spans="1:11" x14ac:dyDescent="0.25">
      <c r="A186" s="1" t="s">
        <v>490</v>
      </c>
      <c r="B186" s="1" t="s">
        <v>491</v>
      </c>
      <c r="C186" s="1" t="s">
        <v>1</v>
      </c>
      <c r="D186" s="1" t="s">
        <v>492</v>
      </c>
      <c r="E186" s="1" t="s">
        <v>34</v>
      </c>
      <c r="F186" s="1" t="s">
        <v>40</v>
      </c>
      <c r="G186" s="1" t="s">
        <v>40</v>
      </c>
      <c r="H186" s="1"/>
      <c r="I186" s="1"/>
      <c r="J186" s="1" t="s">
        <v>19</v>
      </c>
      <c r="K186" s="1" t="s">
        <v>18</v>
      </c>
    </row>
    <row r="187" spans="1:11" x14ac:dyDescent="0.25">
      <c r="A187" s="1" t="s">
        <v>493</v>
      </c>
      <c r="B187" s="1" t="s">
        <v>494</v>
      </c>
      <c r="C187" s="1" t="s">
        <v>203</v>
      </c>
      <c r="D187" s="1" t="s">
        <v>1650</v>
      </c>
      <c r="E187" s="1" t="s">
        <v>34</v>
      </c>
      <c r="F187" s="1" t="s">
        <v>40</v>
      </c>
      <c r="G187" s="1" t="s">
        <v>40</v>
      </c>
      <c r="H187" s="1"/>
      <c r="I187" s="1"/>
      <c r="J187" s="1" t="s">
        <v>19</v>
      </c>
      <c r="K187" s="1" t="s">
        <v>18</v>
      </c>
    </row>
    <row r="188" spans="1:11" x14ac:dyDescent="0.25">
      <c r="A188" s="1" t="s">
        <v>496</v>
      </c>
      <c r="B188" s="1" t="s">
        <v>497</v>
      </c>
      <c r="C188" s="1" t="s">
        <v>70</v>
      </c>
      <c r="D188" s="1" t="s">
        <v>1651</v>
      </c>
      <c r="E188" s="1" t="s">
        <v>34</v>
      </c>
      <c r="F188" s="1" t="s">
        <v>37</v>
      </c>
      <c r="G188" s="1" t="s">
        <v>498</v>
      </c>
      <c r="H188" s="1"/>
      <c r="I188" s="1"/>
      <c r="J188" s="1" t="s">
        <v>19</v>
      </c>
      <c r="K188" s="1" t="s">
        <v>18</v>
      </c>
    </row>
    <row r="189" spans="1:11" x14ac:dyDescent="0.25">
      <c r="A189" s="1" t="s">
        <v>499</v>
      </c>
      <c r="B189" s="1" t="s">
        <v>500</v>
      </c>
      <c r="C189" s="1" t="s">
        <v>430</v>
      </c>
      <c r="D189" s="1" t="s">
        <v>1652</v>
      </c>
      <c r="E189" s="1" t="s">
        <v>34</v>
      </c>
      <c r="F189" s="1" t="s">
        <v>40</v>
      </c>
      <c r="G189" s="1" t="s">
        <v>40</v>
      </c>
      <c r="H189" s="1" t="s">
        <v>501</v>
      </c>
      <c r="I189" s="1" t="s">
        <v>10</v>
      </c>
      <c r="J189" s="1" t="s">
        <v>19</v>
      </c>
      <c r="K189" s="1" t="s">
        <v>18</v>
      </c>
    </row>
    <row r="190" spans="1:11" x14ac:dyDescent="0.25">
      <c r="A190" s="1" t="s">
        <v>502</v>
      </c>
      <c r="B190" s="1" t="s">
        <v>503</v>
      </c>
      <c r="C190" s="1" t="s">
        <v>31</v>
      </c>
      <c r="D190" s="1" t="s">
        <v>1653</v>
      </c>
      <c r="E190" s="1" t="s">
        <v>34</v>
      </c>
      <c r="F190" s="1" t="s">
        <v>424</v>
      </c>
      <c r="G190" s="1" t="s">
        <v>424</v>
      </c>
      <c r="H190" s="1" t="s">
        <v>504</v>
      </c>
      <c r="I190" s="1" t="s">
        <v>10</v>
      </c>
      <c r="J190" s="1" t="s">
        <v>19</v>
      </c>
      <c r="K190" s="1" t="s">
        <v>18</v>
      </c>
    </row>
    <row r="191" spans="1:11" x14ac:dyDescent="0.25">
      <c r="A191" s="1" t="s">
        <v>505</v>
      </c>
      <c r="B191" s="1" t="s">
        <v>506</v>
      </c>
      <c r="C191" s="1" t="s">
        <v>174</v>
      </c>
      <c r="D191" s="1" t="s">
        <v>1577</v>
      </c>
      <c r="E191" s="1" t="s">
        <v>34</v>
      </c>
      <c r="F191" s="1" t="s">
        <v>40</v>
      </c>
      <c r="G191" s="1" t="s">
        <v>40</v>
      </c>
      <c r="H191" s="1" t="s">
        <v>507</v>
      </c>
      <c r="I191" s="1" t="s">
        <v>10</v>
      </c>
      <c r="J191" s="1" t="s">
        <v>19</v>
      </c>
      <c r="K191" s="1" t="s">
        <v>18</v>
      </c>
    </row>
    <row r="192" spans="1:11" x14ac:dyDescent="0.25">
      <c r="A192" s="1" t="s">
        <v>508</v>
      </c>
      <c r="B192" s="1" t="s">
        <v>509</v>
      </c>
      <c r="C192" s="1" t="s">
        <v>50</v>
      </c>
      <c r="D192" s="1" t="s">
        <v>510</v>
      </c>
      <c r="E192" s="1" t="s">
        <v>34</v>
      </c>
      <c r="F192" s="1" t="s">
        <v>498</v>
      </c>
      <c r="G192" s="1" t="s">
        <v>498</v>
      </c>
      <c r="H192" s="1"/>
      <c r="I192" s="1"/>
      <c r="J192" s="1" t="s">
        <v>19</v>
      </c>
      <c r="K192" s="1" t="s">
        <v>18</v>
      </c>
    </row>
    <row r="193" spans="1:11" x14ac:dyDescent="0.25">
      <c r="A193" s="1" t="s">
        <v>511</v>
      </c>
      <c r="B193" s="1" t="s">
        <v>512</v>
      </c>
      <c r="C193" s="1" t="s">
        <v>29</v>
      </c>
      <c r="D193" s="1" t="s">
        <v>1654</v>
      </c>
      <c r="E193" s="1" t="s">
        <v>34</v>
      </c>
      <c r="F193" s="1" t="s">
        <v>40</v>
      </c>
      <c r="G193" s="1" t="s">
        <v>40</v>
      </c>
      <c r="H193" s="1"/>
      <c r="I193" s="1"/>
      <c r="J193" s="1" t="s">
        <v>19</v>
      </c>
      <c r="K193" s="1" t="s">
        <v>18</v>
      </c>
    </row>
    <row r="194" spans="1:11" x14ac:dyDescent="0.25">
      <c r="A194" s="1" t="s">
        <v>513</v>
      </c>
      <c r="B194" s="1" t="s">
        <v>514</v>
      </c>
      <c r="C194" s="1" t="s">
        <v>430</v>
      </c>
      <c r="D194" s="1" t="s">
        <v>1655</v>
      </c>
      <c r="E194" s="1" t="s">
        <v>34</v>
      </c>
      <c r="F194" s="1" t="s">
        <v>37</v>
      </c>
      <c r="G194" s="1" t="s">
        <v>498</v>
      </c>
      <c r="H194" s="1"/>
      <c r="I194" s="1"/>
      <c r="J194" s="1" t="s">
        <v>19</v>
      </c>
      <c r="K194" s="1" t="s">
        <v>18</v>
      </c>
    </row>
    <row r="195" spans="1:11" x14ac:dyDescent="0.25">
      <c r="A195" s="1" t="s">
        <v>515</v>
      </c>
      <c r="B195" s="1" t="s">
        <v>516</v>
      </c>
      <c r="C195" s="1" t="s">
        <v>1</v>
      </c>
      <c r="D195" s="1" t="s">
        <v>1656</v>
      </c>
      <c r="E195" s="1" t="s">
        <v>34</v>
      </c>
      <c r="F195" s="1" t="s">
        <v>40</v>
      </c>
      <c r="G195" s="1" t="s">
        <v>40</v>
      </c>
      <c r="H195" s="1"/>
      <c r="I195" s="1"/>
      <c r="J195" s="1" t="s">
        <v>19</v>
      </c>
      <c r="K195" s="1" t="s">
        <v>18</v>
      </c>
    </row>
    <row r="196" spans="1:11" x14ac:dyDescent="0.25">
      <c r="A196" s="1" t="s">
        <v>517</v>
      </c>
      <c r="B196" s="1" t="s">
        <v>518</v>
      </c>
      <c r="C196" s="1" t="s">
        <v>29</v>
      </c>
      <c r="D196" s="1" t="s">
        <v>1655</v>
      </c>
      <c r="E196" s="1" t="s">
        <v>34</v>
      </c>
      <c r="F196" s="1" t="s">
        <v>498</v>
      </c>
      <c r="G196" s="1" t="s">
        <v>498</v>
      </c>
      <c r="H196" s="1"/>
      <c r="I196" s="1"/>
      <c r="J196" s="1" t="s">
        <v>19</v>
      </c>
      <c r="K196" s="1" t="s">
        <v>18</v>
      </c>
    </row>
    <row r="197" spans="1:11" x14ac:dyDescent="0.25">
      <c r="A197" s="1" t="s">
        <v>519</v>
      </c>
      <c r="B197" s="1" t="s">
        <v>520</v>
      </c>
      <c r="C197" s="1" t="s">
        <v>28</v>
      </c>
      <c r="D197" s="1" t="s">
        <v>1657</v>
      </c>
      <c r="E197" s="1" t="s">
        <v>34</v>
      </c>
      <c r="F197" s="1" t="s">
        <v>498</v>
      </c>
      <c r="G197" s="1" t="s">
        <v>498</v>
      </c>
      <c r="H197" s="1"/>
      <c r="I197" s="1"/>
      <c r="J197" s="1" t="s">
        <v>19</v>
      </c>
      <c r="K197" s="1" t="s">
        <v>18</v>
      </c>
    </row>
    <row r="198" spans="1:11" x14ac:dyDescent="0.25">
      <c r="A198" s="1" t="s">
        <v>521</v>
      </c>
      <c r="B198" s="1" t="s">
        <v>522</v>
      </c>
      <c r="C198" s="1" t="s">
        <v>203</v>
      </c>
      <c r="D198" s="1" t="s">
        <v>695</v>
      </c>
      <c r="E198" s="1" t="s">
        <v>34</v>
      </c>
      <c r="F198" s="1" t="s">
        <v>498</v>
      </c>
      <c r="G198" s="1" t="s">
        <v>498</v>
      </c>
      <c r="H198" s="1"/>
      <c r="I198" s="1"/>
      <c r="J198" s="1" t="s">
        <v>19</v>
      </c>
      <c r="K198" s="1" t="s">
        <v>18</v>
      </c>
    </row>
    <row r="199" spans="1:11" x14ac:dyDescent="0.25">
      <c r="A199" s="1" t="s">
        <v>523</v>
      </c>
      <c r="B199" s="1" t="s">
        <v>524</v>
      </c>
      <c r="C199" s="1" t="s">
        <v>1</v>
      </c>
      <c r="D199" s="1" t="s">
        <v>1658</v>
      </c>
      <c r="E199" s="1" t="s">
        <v>34</v>
      </c>
      <c r="F199" s="1" t="s">
        <v>40</v>
      </c>
      <c r="G199" s="1" t="s">
        <v>40</v>
      </c>
      <c r="H199" s="1"/>
      <c r="I199" s="1"/>
      <c r="J199" s="1" t="s">
        <v>19</v>
      </c>
      <c r="K199" s="1" t="s">
        <v>18</v>
      </c>
    </row>
    <row r="200" spans="1:11" x14ac:dyDescent="0.25">
      <c r="A200" s="1" t="s">
        <v>525</v>
      </c>
      <c r="B200" s="1" t="s">
        <v>526</v>
      </c>
      <c r="C200" s="1" t="s">
        <v>203</v>
      </c>
      <c r="D200" s="1" t="s">
        <v>1659</v>
      </c>
      <c r="E200" s="1" t="s">
        <v>34</v>
      </c>
      <c r="F200" s="1" t="s">
        <v>40</v>
      </c>
      <c r="G200" s="1" t="s">
        <v>40</v>
      </c>
      <c r="H200" s="1"/>
      <c r="I200" s="1"/>
      <c r="J200" s="1" t="s">
        <v>19</v>
      </c>
      <c r="K200" s="1" t="s">
        <v>18</v>
      </c>
    </row>
    <row r="201" spans="1:11" x14ac:dyDescent="0.25">
      <c r="A201" s="1" t="s">
        <v>527</v>
      </c>
      <c r="B201" s="1" t="s">
        <v>528</v>
      </c>
      <c r="C201" s="1" t="s">
        <v>203</v>
      </c>
      <c r="D201" s="1" t="s">
        <v>1660</v>
      </c>
      <c r="E201" s="1" t="s">
        <v>34</v>
      </c>
      <c r="F201" s="1" t="s">
        <v>40</v>
      </c>
      <c r="G201" s="1" t="s">
        <v>40</v>
      </c>
      <c r="H201" s="1"/>
      <c r="I201" s="1"/>
      <c r="J201" s="1" t="s">
        <v>19</v>
      </c>
      <c r="K201" s="1" t="s">
        <v>18</v>
      </c>
    </row>
    <row r="202" spans="1:11" x14ac:dyDescent="0.25">
      <c r="A202" s="1" t="s">
        <v>529</v>
      </c>
      <c r="B202" s="1" t="s">
        <v>530</v>
      </c>
      <c r="C202" s="1" t="s">
        <v>30</v>
      </c>
      <c r="D202" s="1" t="s">
        <v>1661</v>
      </c>
      <c r="E202" s="1" t="s">
        <v>34</v>
      </c>
      <c r="F202" s="1" t="s">
        <v>40</v>
      </c>
      <c r="G202" s="1" t="s">
        <v>40</v>
      </c>
      <c r="H202" s="1"/>
      <c r="I202" s="1"/>
      <c r="J202" s="1" t="s">
        <v>19</v>
      </c>
      <c r="K202" s="1" t="s">
        <v>18</v>
      </c>
    </row>
    <row r="203" spans="1:11" x14ac:dyDescent="0.25">
      <c r="A203" s="1" t="s">
        <v>531</v>
      </c>
      <c r="B203" s="1" t="s">
        <v>532</v>
      </c>
      <c r="C203" s="1" t="s">
        <v>54</v>
      </c>
      <c r="D203" s="1" t="s">
        <v>1662</v>
      </c>
      <c r="E203" s="1" t="s">
        <v>34</v>
      </c>
      <c r="F203" s="1" t="s">
        <v>40</v>
      </c>
      <c r="G203" s="1" t="s">
        <v>40</v>
      </c>
      <c r="H203" s="1"/>
      <c r="I203" s="1"/>
      <c r="J203" s="1" t="s">
        <v>19</v>
      </c>
      <c r="K203" s="1" t="s">
        <v>18</v>
      </c>
    </row>
    <row r="204" spans="1:11" x14ac:dyDescent="0.25">
      <c r="A204" s="1" t="s">
        <v>533</v>
      </c>
      <c r="B204" s="1" t="s">
        <v>534</v>
      </c>
      <c r="C204" s="1" t="s">
        <v>29</v>
      </c>
      <c r="D204" s="1" t="s">
        <v>1663</v>
      </c>
      <c r="E204" s="1" t="s">
        <v>34</v>
      </c>
      <c r="F204" s="1" t="s">
        <v>40</v>
      </c>
      <c r="G204" s="1" t="s">
        <v>40</v>
      </c>
      <c r="H204" s="1"/>
      <c r="I204" s="1"/>
      <c r="J204" s="1" t="s">
        <v>19</v>
      </c>
      <c r="K204" s="1" t="s">
        <v>18</v>
      </c>
    </row>
    <row r="205" spans="1:11" x14ac:dyDescent="0.25">
      <c r="A205" s="1" t="s">
        <v>536</v>
      </c>
      <c r="B205" s="1" t="s">
        <v>537</v>
      </c>
      <c r="C205" s="1" t="s">
        <v>1</v>
      </c>
      <c r="D205" s="1" t="s">
        <v>1664</v>
      </c>
      <c r="E205" s="1" t="s">
        <v>34</v>
      </c>
      <c r="F205" s="1" t="s">
        <v>40</v>
      </c>
      <c r="G205" s="1" t="s">
        <v>40</v>
      </c>
      <c r="H205" s="1"/>
      <c r="I205" s="1"/>
      <c r="J205" s="1" t="s">
        <v>19</v>
      </c>
      <c r="K205" s="1" t="s">
        <v>18</v>
      </c>
    </row>
    <row r="206" spans="1:11" x14ac:dyDescent="0.25">
      <c r="A206" s="1" t="s">
        <v>539</v>
      </c>
      <c r="B206" s="1" t="s">
        <v>540</v>
      </c>
      <c r="C206" s="1" t="s">
        <v>1</v>
      </c>
      <c r="D206" s="1" t="s">
        <v>1665</v>
      </c>
      <c r="E206" s="1" t="s">
        <v>34</v>
      </c>
      <c r="F206" s="1" t="s">
        <v>40</v>
      </c>
      <c r="G206" s="1" t="s">
        <v>40</v>
      </c>
      <c r="H206" s="1"/>
      <c r="I206" s="1"/>
      <c r="J206" s="1" t="s">
        <v>19</v>
      </c>
      <c r="K206" s="1" t="s">
        <v>18</v>
      </c>
    </row>
    <row r="207" spans="1:11" x14ac:dyDescent="0.25">
      <c r="A207" s="1" t="s">
        <v>541</v>
      </c>
      <c r="B207" s="1" t="s">
        <v>542</v>
      </c>
      <c r="C207" s="1" t="s">
        <v>9</v>
      </c>
      <c r="D207" s="1" t="s">
        <v>1666</v>
      </c>
      <c r="E207" s="1" t="s">
        <v>34</v>
      </c>
      <c r="F207" s="1" t="s">
        <v>40</v>
      </c>
      <c r="G207" s="1" t="s">
        <v>40</v>
      </c>
      <c r="H207" s="1"/>
      <c r="I207" s="1"/>
      <c r="J207" s="1" t="s">
        <v>19</v>
      </c>
      <c r="K207" s="1" t="s">
        <v>18</v>
      </c>
    </row>
    <row r="208" spans="1:11" x14ac:dyDescent="0.25">
      <c r="A208" s="1" t="s">
        <v>543</v>
      </c>
      <c r="B208" s="1" t="s">
        <v>544</v>
      </c>
      <c r="C208" s="1" t="s">
        <v>1</v>
      </c>
      <c r="D208" s="1" t="s">
        <v>1667</v>
      </c>
      <c r="E208" s="1" t="s">
        <v>34</v>
      </c>
      <c r="F208" s="1" t="s">
        <v>40</v>
      </c>
      <c r="G208" s="1" t="s">
        <v>40</v>
      </c>
      <c r="H208" s="1"/>
      <c r="I208" s="1"/>
      <c r="J208" s="1" t="s">
        <v>19</v>
      </c>
      <c r="K208" s="1" t="s">
        <v>18</v>
      </c>
    </row>
    <row r="209" spans="1:11" x14ac:dyDescent="0.25">
      <c r="A209" s="1" t="s">
        <v>545</v>
      </c>
      <c r="B209" s="1" t="s">
        <v>546</v>
      </c>
      <c r="C209" s="1" t="s">
        <v>1</v>
      </c>
      <c r="D209" s="1" t="s">
        <v>1668</v>
      </c>
      <c r="E209" s="1" t="s">
        <v>34</v>
      </c>
      <c r="F209" s="1" t="s">
        <v>40</v>
      </c>
      <c r="G209" s="1" t="s">
        <v>40</v>
      </c>
      <c r="H209" s="1"/>
      <c r="I209" s="1"/>
      <c r="J209" s="1" t="s">
        <v>19</v>
      </c>
      <c r="K209" s="1" t="s">
        <v>18</v>
      </c>
    </row>
    <row r="210" spans="1:11" x14ac:dyDescent="0.25">
      <c r="A210" s="1" t="s">
        <v>548</v>
      </c>
      <c r="B210" s="1" t="s">
        <v>549</v>
      </c>
      <c r="C210" s="1" t="s">
        <v>29</v>
      </c>
      <c r="D210" s="1" t="s">
        <v>1669</v>
      </c>
      <c r="E210" s="1" t="s">
        <v>34</v>
      </c>
      <c r="F210" s="1" t="s">
        <v>40</v>
      </c>
      <c r="G210" s="1" t="s">
        <v>40</v>
      </c>
      <c r="H210" s="1"/>
      <c r="I210" s="1"/>
      <c r="J210" s="1" t="s">
        <v>19</v>
      </c>
      <c r="K210" s="1" t="s">
        <v>18</v>
      </c>
    </row>
    <row r="211" spans="1:11" x14ac:dyDescent="0.25">
      <c r="A211" s="1" t="s">
        <v>550</v>
      </c>
      <c r="B211" s="1" t="s">
        <v>551</v>
      </c>
      <c r="C211" s="1" t="s">
        <v>28</v>
      </c>
      <c r="D211" s="1" t="s">
        <v>1670</v>
      </c>
      <c r="E211" s="1" t="s">
        <v>34</v>
      </c>
      <c r="F211" s="1" t="s">
        <v>40</v>
      </c>
      <c r="G211" s="1" t="s">
        <v>40</v>
      </c>
      <c r="H211" s="1"/>
      <c r="I211" s="1"/>
      <c r="J211" s="1" t="s">
        <v>19</v>
      </c>
      <c r="K211" s="1" t="s">
        <v>18</v>
      </c>
    </row>
    <row r="212" spans="1:11" x14ac:dyDescent="0.25">
      <c r="A212" s="1" t="s">
        <v>552</v>
      </c>
      <c r="B212" s="1" t="s">
        <v>553</v>
      </c>
      <c r="C212" s="1" t="s">
        <v>219</v>
      </c>
      <c r="D212" s="1" t="s">
        <v>1671</v>
      </c>
      <c r="E212" s="1" t="s">
        <v>34</v>
      </c>
      <c r="F212" s="1" t="s">
        <v>40</v>
      </c>
      <c r="G212" s="1" t="s">
        <v>40</v>
      </c>
      <c r="H212" s="1"/>
      <c r="I212" s="1"/>
      <c r="J212" s="1" t="s">
        <v>19</v>
      </c>
      <c r="K212" s="1" t="s">
        <v>18</v>
      </c>
    </row>
    <row r="213" spans="1:11" x14ac:dyDescent="0.25">
      <c r="A213" s="1" t="s">
        <v>555</v>
      </c>
      <c r="B213" s="1" t="s">
        <v>556</v>
      </c>
      <c r="C213" s="1" t="s">
        <v>50</v>
      </c>
      <c r="D213" s="1" t="s">
        <v>1672</v>
      </c>
      <c r="E213" s="1" t="s">
        <v>34</v>
      </c>
      <c r="F213" s="1" t="s">
        <v>40</v>
      </c>
      <c r="G213" s="1" t="s">
        <v>40</v>
      </c>
      <c r="H213" s="1"/>
      <c r="I213" s="1"/>
      <c r="J213" s="1" t="s">
        <v>19</v>
      </c>
      <c r="K213" s="1" t="s">
        <v>18</v>
      </c>
    </row>
    <row r="214" spans="1:11" x14ac:dyDescent="0.25">
      <c r="A214" s="1" t="s">
        <v>557</v>
      </c>
      <c r="B214" s="1" t="s">
        <v>558</v>
      </c>
      <c r="C214" s="1" t="s">
        <v>30</v>
      </c>
      <c r="D214" s="1" t="s">
        <v>1673</v>
      </c>
      <c r="E214" s="1" t="s">
        <v>34</v>
      </c>
      <c r="F214" s="1" t="s">
        <v>40</v>
      </c>
      <c r="G214" s="1" t="s">
        <v>40</v>
      </c>
      <c r="H214" s="1"/>
      <c r="I214" s="1"/>
      <c r="J214" s="1" t="s">
        <v>19</v>
      </c>
      <c r="K214" s="1" t="s">
        <v>18</v>
      </c>
    </row>
    <row r="215" spans="1:11" x14ac:dyDescent="0.25">
      <c r="A215" s="1" t="s">
        <v>560</v>
      </c>
      <c r="B215" s="1" t="s">
        <v>561</v>
      </c>
      <c r="C215" s="1" t="s">
        <v>54</v>
      </c>
      <c r="D215" s="1" t="s">
        <v>1608</v>
      </c>
      <c r="E215" s="1" t="s">
        <v>34</v>
      </c>
      <c r="F215" s="1" t="s">
        <v>40</v>
      </c>
      <c r="G215" s="1" t="s">
        <v>40</v>
      </c>
      <c r="H215" s="1"/>
      <c r="I215" s="1"/>
      <c r="J215" s="1" t="s">
        <v>19</v>
      </c>
      <c r="K215" s="1" t="s">
        <v>18</v>
      </c>
    </row>
    <row r="216" spans="1:11" x14ac:dyDescent="0.25">
      <c r="A216" s="1" t="s">
        <v>562</v>
      </c>
      <c r="B216" s="1" t="s">
        <v>563</v>
      </c>
      <c r="C216" s="1" t="s">
        <v>29</v>
      </c>
      <c r="D216" s="1" t="s">
        <v>1674</v>
      </c>
      <c r="E216" s="1" t="s">
        <v>34</v>
      </c>
      <c r="F216" s="1" t="s">
        <v>40</v>
      </c>
      <c r="G216" s="1" t="s">
        <v>40</v>
      </c>
      <c r="H216" s="1"/>
      <c r="I216" s="1"/>
      <c r="J216" s="1" t="s">
        <v>19</v>
      </c>
      <c r="K216" s="1" t="s">
        <v>18</v>
      </c>
    </row>
    <row r="217" spans="1:11" x14ac:dyDescent="0.25">
      <c r="A217" s="1" t="s">
        <v>564</v>
      </c>
      <c r="B217" s="1" t="s">
        <v>565</v>
      </c>
      <c r="C217" s="1" t="s">
        <v>430</v>
      </c>
      <c r="D217" s="1" t="s">
        <v>1675</v>
      </c>
      <c r="E217" s="1" t="s">
        <v>34</v>
      </c>
      <c r="F217" s="1" t="s">
        <v>40</v>
      </c>
      <c r="G217" s="1" t="s">
        <v>40</v>
      </c>
      <c r="H217" s="1"/>
      <c r="I217" s="1"/>
      <c r="J217" s="1" t="s">
        <v>19</v>
      </c>
      <c r="K217" s="1" t="s">
        <v>18</v>
      </c>
    </row>
    <row r="218" spans="1:11" x14ac:dyDescent="0.25">
      <c r="A218" s="1" t="s">
        <v>566</v>
      </c>
      <c r="B218" s="1" t="s">
        <v>567</v>
      </c>
      <c r="C218" s="1" t="s">
        <v>203</v>
      </c>
      <c r="D218" s="1" t="s">
        <v>1676</v>
      </c>
      <c r="E218" s="1" t="s">
        <v>34</v>
      </c>
      <c r="F218" s="1" t="s">
        <v>40</v>
      </c>
      <c r="G218" s="1" t="s">
        <v>40</v>
      </c>
      <c r="H218" s="1"/>
      <c r="I218" s="1"/>
      <c r="J218" s="1" t="s">
        <v>19</v>
      </c>
      <c r="K218" s="1" t="s">
        <v>18</v>
      </c>
    </row>
    <row r="219" spans="1:11" x14ac:dyDescent="0.25">
      <c r="A219" s="1" t="s">
        <v>569</v>
      </c>
      <c r="B219" s="1" t="s">
        <v>570</v>
      </c>
      <c r="C219" s="1" t="s">
        <v>50</v>
      </c>
      <c r="D219" s="1" t="s">
        <v>1658</v>
      </c>
      <c r="E219" s="1" t="s">
        <v>34</v>
      </c>
      <c r="F219" s="1" t="s">
        <v>571</v>
      </c>
      <c r="G219" s="1" t="s">
        <v>571</v>
      </c>
      <c r="H219" s="1"/>
      <c r="I219" s="1"/>
      <c r="J219" s="1" t="s">
        <v>19</v>
      </c>
      <c r="K219" s="1" t="s">
        <v>18</v>
      </c>
    </row>
    <row r="220" spans="1:11" x14ac:dyDescent="0.25">
      <c r="A220" s="1" t="s">
        <v>572</v>
      </c>
      <c r="B220" s="1" t="s">
        <v>573</v>
      </c>
      <c r="C220" s="1" t="s">
        <v>29</v>
      </c>
      <c r="D220" s="1" t="s">
        <v>574</v>
      </c>
      <c r="E220" s="1" t="s">
        <v>34</v>
      </c>
      <c r="F220" s="1" t="s">
        <v>37</v>
      </c>
      <c r="G220" s="1" t="s">
        <v>37</v>
      </c>
      <c r="H220" s="1"/>
      <c r="I220" s="1"/>
      <c r="J220" s="1" t="s">
        <v>19</v>
      </c>
      <c r="K220" s="1" t="s">
        <v>18</v>
      </c>
    </row>
    <row r="221" spans="1:11" x14ac:dyDescent="0.25">
      <c r="A221" s="1" t="s">
        <v>575</v>
      </c>
      <c r="B221" s="1" t="s">
        <v>576</v>
      </c>
      <c r="C221" s="1" t="s">
        <v>336</v>
      </c>
      <c r="D221" s="1" t="s">
        <v>577</v>
      </c>
      <c r="E221" s="1" t="s">
        <v>34</v>
      </c>
      <c r="F221" s="1" t="s">
        <v>424</v>
      </c>
      <c r="G221" s="1" t="s">
        <v>424</v>
      </c>
      <c r="H221" s="1" t="s">
        <v>578</v>
      </c>
      <c r="I221" s="1" t="s">
        <v>10</v>
      </c>
      <c r="J221" s="1" t="s">
        <v>19</v>
      </c>
      <c r="K221" s="1" t="s">
        <v>18</v>
      </c>
    </row>
    <row r="222" spans="1:11" x14ac:dyDescent="0.25">
      <c r="A222" s="1" t="s">
        <v>579</v>
      </c>
      <c r="B222" s="1" t="s">
        <v>580</v>
      </c>
      <c r="C222" s="1" t="s">
        <v>13</v>
      </c>
      <c r="D222" s="1" t="s">
        <v>1677</v>
      </c>
      <c r="E222" s="1" t="s">
        <v>34</v>
      </c>
      <c r="F222" s="1" t="s">
        <v>37</v>
      </c>
      <c r="G222" s="1" t="s">
        <v>37</v>
      </c>
      <c r="H222" s="1"/>
      <c r="I222" s="1"/>
      <c r="J222" s="1" t="s">
        <v>19</v>
      </c>
      <c r="K222" s="1" t="s">
        <v>18</v>
      </c>
    </row>
    <row r="223" spans="1:11" x14ac:dyDescent="0.25">
      <c r="A223" s="1" t="s">
        <v>581</v>
      </c>
      <c r="B223" s="1" t="s">
        <v>582</v>
      </c>
      <c r="C223" s="1" t="s">
        <v>70</v>
      </c>
      <c r="D223" s="1" t="s">
        <v>1627</v>
      </c>
      <c r="E223" s="1" t="s">
        <v>34</v>
      </c>
      <c r="F223" s="1" t="s">
        <v>37</v>
      </c>
      <c r="G223" s="1" t="s">
        <v>37</v>
      </c>
      <c r="H223" s="1"/>
      <c r="I223" s="1"/>
      <c r="J223" s="1" t="s">
        <v>19</v>
      </c>
      <c r="K223" s="1" t="s">
        <v>18</v>
      </c>
    </row>
    <row r="224" spans="1:11" x14ac:dyDescent="0.25">
      <c r="A224" s="1" t="s">
        <v>583</v>
      </c>
      <c r="B224" s="1" t="s">
        <v>584</v>
      </c>
      <c r="C224" s="1" t="s">
        <v>9</v>
      </c>
      <c r="D224" s="1" t="s">
        <v>1678</v>
      </c>
      <c r="E224" s="1" t="s">
        <v>34</v>
      </c>
      <c r="F224" s="1" t="s">
        <v>424</v>
      </c>
      <c r="G224" s="1" t="s">
        <v>424</v>
      </c>
      <c r="H224" s="1" t="s">
        <v>585</v>
      </c>
      <c r="I224" s="1" t="s">
        <v>10</v>
      </c>
      <c r="J224" s="1" t="s">
        <v>19</v>
      </c>
      <c r="K224" s="1" t="s">
        <v>18</v>
      </c>
    </row>
    <row r="225" spans="1:11" x14ac:dyDescent="0.25">
      <c r="A225" s="1" t="s">
        <v>586</v>
      </c>
      <c r="B225" s="1" t="s">
        <v>587</v>
      </c>
      <c r="C225" s="1" t="s">
        <v>30</v>
      </c>
      <c r="D225" s="1" t="s">
        <v>1679</v>
      </c>
      <c r="E225" s="1" t="s">
        <v>34</v>
      </c>
      <c r="F225" s="1" t="s">
        <v>37</v>
      </c>
      <c r="G225" s="1" t="s">
        <v>37</v>
      </c>
      <c r="H225" s="1"/>
      <c r="I225" s="1"/>
      <c r="J225" s="1" t="s">
        <v>19</v>
      </c>
      <c r="K225" s="1" t="s">
        <v>18</v>
      </c>
    </row>
    <row r="226" spans="1:11" x14ac:dyDescent="0.25">
      <c r="A226" s="1" t="s">
        <v>588</v>
      </c>
      <c r="B226" s="1" t="s">
        <v>589</v>
      </c>
      <c r="C226" s="1" t="s">
        <v>29</v>
      </c>
      <c r="D226" s="1" t="s">
        <v>590</v>
      </c>
      <c r="E226" s="1" t="s">
        <v>34</v>
      </c>
      <c r="F226" s="1" t="s">
        <v>37</v>
      </c>
      <c r="G226" s="1" t="s">
        <v>37</v>
      </c>
      <c r="H226" s="1"/>
      <c r="I226" s="1"/>
      <c r="J226" s="1" t="s">
        <v>19</v>
      </c>
      <c r="K226" s="1" t="s">
        <v>18</v>
      </c>
    </row>
    <row r="227" spans="1:11" x14ac:dyDescent="0.25">
      <c r="A227" s="1" t="s">
        <v>591</v>
      </c>
      <c r="B227" s="1" t="s">
        <v>592</v>
      </c>
      <c r="C227" s="1" t="s">
        <v>336</v>
      </c>
      <c r="D227" s="1" t="s">
        <v>593</v>
      </c>
      <c r="E227" s="1" t="s">
        <v>34</v>
      </c>
      <c r="F227" s="1" t="s">
        <v>424</v>
      </c>
      <c r="G227" s="1" t="s">
        <v>424</v>
      </c>
      <c r="H227" s="1" t="s">
        <v>594</v>
      </c>
      <c r="I227" s="1" t="s">
        <v>10</v>
      </c>
      <c r="J227" s="1" t="s">
        <v>19</v>
      </c>
      <c r="K227" s="1" t="s">
        <v>18</v>
      </c>
    </row>
    <row r="228" spans="1:11" x14ac:dyDescent="0.25">
      <c r="A228" s="1" t="s">
        <v>595</v>
      </c>
      <c r="B228" s="1" t="s">
        <v>596</v>
      </c>
      <c r="C228" s="1" t="s">
        <v>322</v>
      </c>
      <c r="D228" s="1" t="s">
        <v>1680</v>
      </c>
      <c r="E228" s="1" t="s">
        <v>34</v>
      </c>
      <c r="F228" s="1" t="s">
        <v>424</v>
      </c>
      <c r="G228" s="1" t="s">
        <v>424</v>
      </c>
      <c r="H228" s="1" t="s">
        <v>597</v>
      </c>
      <c r="I228" s="1" t="s">
        <v>10</v>
      </c>
      <c r="J228" s="1" t="s">
        <v>19</v>
      </c>
      <c r="K228" s="1" t="s">
        <v>18</v>
      </c>
    </row>
    <row r="229" spans="1:11" x14ac:dyDescent="0.25">
      <c r="A229" s="1" t="s">
        <v>598</v>
      </c>
      <c r="B229" s="1" t="s">
        <v>599</v>
      </c>
      <c r="C229" s="1" t="s">
        <v>101</v>
      </c>
      <c r="D229" s="1" t="s">
        <v>1681</v>
      </c>
      <c r="E229" s="1" t="s">
        <v>34</v>
      </c>
      <c r="F229" s="1" t="s">
        <v>424</v>
      </c>
      <c r="G229" s="1" t="s">
        <v>424</v>
      </c>
      <c r="H229" s="1" t="s">
        <v>600</v>
      </c>
      <c r="I229" s="1" t="s">
        <v>10</v>
      </c>
      <c r="J229" s="1" t="s">
        <v>19</v>
      </c>
      <c r="K229" s="1" t="s">
        <v>18</v>
      </c>
    </row>
    <row r="230" spans="1:11" x14ac:dyDescent="0.25">
      <c r="A230" s="1" t="s">
        <v>601</v>
      </c>
      <c r="B230" s="1" t="s">
        <v>602</v>
      </c>
      <c r="C230" s="1" t="s">
        <v>30</v>
      </c>
      <c r="D230" s="1" t="s">
        <v>1596</v>
      </c>
      <c r="E230" s="1" t="s">
        <v>34</v>
      </c>
      <c r="F230" s="1" t="s">
        <v>424</v>
      </c>
      <c r="G230" s="1" t="s">
        <v>424</v>
      </c>
      <c r="H230" s="1" t="s">
        <v>603</v>
      </c>
      <c r="I230" s="1" t="s">
        <v>10</v>
      </c>
      <c r="J230" s="1" t="s">
        <v>19</v>
      </c>
      <c r="K230" s="1" t="s">
        <v>18</v>
      </c>
    </row>
    <row r="231" spans="1:11" x14ac:dyDescent="0.25">
      <c r="A231" s="1" t="s">
        <v>604</v>
      </c>
      <c r="B231" s="1" t="s">
        <v>605</v>
      </c>
      <c r="C231" s="1" t="s">
        <v>28</v>
      </c>
      <c r="D231" s="1" t="s">
        <v>606</v>
      </c>
      <c r="E231" s="1" t="s">
        <v>34</v>
      </c>
      <c r="F231" s="1" t="s">
        <v>424</v>
      </c>
      <c r="G231" s="1" t="s">
        <v>424</v>
      </c>
      <c r="H231" s="1" t="s">
        <v>607</v>
      </c>
      <c r="I231" s="1" t="s">
        <v>10</v>
      </c>
      <c r="J231" s="1" t="s">
        <v>19</v>
      </c>
      <c r="K231" s="1" t="s">
        <v>18</v>
      </c>
    </row>
    <row r="232" spans="1:11" x14ac:dyDescent="0.25">
      <c r="A232" s="1" t="s">
        <v>608</v>
      </c>
      <c r="B232" s="1" t="s">
        <v>609</v>
      </c>
      <c r="C232" s="1" t="s">
        <v>430</v>
      </c>
      <c r="D232" s="1" t="s">
        <v>1682</v>
      </c>
      <c r="E232" s="1" t="s">
        <v>34</v>
      </c>
      <c r="F232" s="1" t="s">
        <v>424</v>
      </c>
      <c r="G232" s="1" t="s">
        <v>424</v>
      </c>
      <c r="H232" s="1" t="s">
        <v>610</v>
      </c>
      <c r="I232" s="1" t="s">
        <v>10</v>
      </c>
      <c r="J232" s="1" t="s">
        <v>19</v>
      </c>
      <c r="K232" s="1" t="s">
        <v>18</v>
      </c>
    </row>
    <row r="233" spans="1:11" x14ac:dyDescent="0.25">
      <c r="A233" s="1" t="s">
        <v>611</v>
      </c>
      <c r="B233" s="1" t="s">
        <v>612</v>
      </c>
      <c r="C233" s="1" t="s">
        <v>28</v>
      </c>
      <c r="D233" s="1" t="s">
        <v>768</v>
      </c>
      <c r="E233" s="1" t="s">
        <v>34</v>
      </c>
      <c r="F233" s="1" t="s">
        <v>40</v>
      </c>
      <c r="G233" s="1" t="s">
        <v>40</v>
      </c>
      <c r="H233" s="1" t="s">
        <v>613</v>
      </c>
      <c r="I233" s="1" t="s">
        <v>10</v>
      </c>
      <c r="J233" s="1" t="s">
        <v>19</v>
      </c>
      <c r="K233" s="1" t="s">
        <v>18</v>
      </c>
    </row>
    <row r="234" spans="1:11" x14ac:dyDescent="0.25">
      <c r="A234" s="1" t="s">
        <v>614</v>
      </c>
      <c r="B234" s="1" t="s">
        <v>615</v>
      </c>
      <c r="C234" s="1" t="s">
        <v>29</v>
      </c>
      <c r="D234" s="1" t="s">
        <v>1683</v>
      </c>
      <c r="E234" s="1" t="s">
        <v>34</v>
      </c>
      <c r="F234" s="1" t="s">
        <v>37</v>
      </c>
      <c r="G234" s="1" t="s">
        <v>37</v>
      </c>
      <c r="H234" s="1"/>
      <c r="I234" s="1"/>
      <c r="J234" s="1" t="s">
        <v>19</v>
      </c>
      <c r="K234" s="1" t="s">
        <v>18</v>
      </c>
    </row>
    <row r="235" spans="1:11" x14ac:dyDescent="0.25">
      <c r="A235" s="1" t="s">
        <v>616</v>
      </c>
      <c r="B235" s="1" t="s">
        <v>617</v>
      </c>
      <c r="C235" s="1" t="s">
        <v>70</v>
      </c>
      <c r="D235" s="1" t="s">
        <v>1536</v>
      </c>
      <c r="E235" s="1" t="s">
        <v>34</v>
      </c>
      <c r="F235" s="1" t="s">
        <v>37</v>
      </c>
      <c r="G235" s="1" t="s">
        <v>37</v>
      </c>
      <c r="H235" s="1"/>
      <c r="I235" s="1"/>
      <c r="J235" s="1" t="s">
        <v>19</v>
      </c>
      <c r="K235" s="1" t="s">
        <v>18</v>
      </c>
    </row>
    <row r="236" spans="1:11" x14ac:dyDescent="0.25">
      <c r="A236" s="1" t="s">
        <v>618</v>
      </c>
      <c r="B236" s="1" t="s">
        <v>619</v>
      </c>
      <c r="C236" s="1" t="s">
        <v>30</v>
      </c>
      <c r="D236" s="1" t="s">
        <v>1684</v>
      </c>
      <c r="E236" s="1" t="s">
        <v>34</v>
      </c>
      <c r="F236" s="1" t="s">
        <v>620</v>
      </c>
      <c r="G236" s="1" t="s">
        <v>620</v>
      </c>
      <c r="H236" s="1"/>
      <c r="I236" s="1"/>
      <c r="J236" s="1" t="s">
        <v>19</v>
      </c>
      <c r="K236" s="1" t="s">
        <v>18</v>
      </c>
    </row>
    <row r="237" spans="1:11" x14ac:dyDescent="0.25">
      <c r="A237" s="1" t="s">
        <v>621</v>
      </c>
      <c r="B237" s="1" t="s">
        <v>622</v>
      </c>
      <c r="C237" s="1" t="s">
        <v>430</v>
      </c>
      <c r="D237" s="1" t="s">
        <v>1685</v>
      </c>
      <c r="E237" s="1" t="s">
        <v>34</v>
      </c>
      <c r="F237" s="1" t="s">
        <v>40</v>
      </c>
      <c r="G237" s="1" t="s">
        <v>40</v>
      </c>
      <c r="H237" s="1"/>
      <c r="I237" s="1"/>
      <c r="J237" s="1" t="s">
        <v>19</v>
      </c>
      <c r="K237" s="1" t="s">
        <v>18</v>
      </c>
    </row>
    <row r="238" spans="1:11" x14ac:dyDescent="0.25">
      <c r="A238" s="1" t="s">
        <v>624</v>
      </c>
      <c r="B238" s="1" t="s">
        <v>625</v>
      </c>
      <c r="C238" s="1" t="s">
        <v>70</v>
      </c>
      <c r="D238" s="1" t="s">
        <v>1686</v>
      </c>
      <c r="E238" s="1" t="s">
        <v>34</v>
      </c>
      <c r="F238" s="1" t="s">
        <v>37</v>
      </c>
      <c r="G238" s="1" t="s">
        <v>37</v>
      </c>
      <c r="H238" s="1"/>
      <c r="I238" s="1"/>
      <c r="J238" s="1" t="s">
        <v>19</v>
      </c>
      <c r="K238" s="1" t="s">
        <v>18</v>
      </c>
    </row>
    <row r="239" spans="1:11" x14ac:dyDescent="0.25">
      <c r="A239" s="1" t="s">
        <v>626</v>
      </c>
      <c r="B239" s="1" t="s">
        <v>627</v>
      </c>
      <c r="C239" s="1" t="s">
        <v>29</v>
      </c>
      <c r="D239" s="1" t="s">
        <v>1687</v>
      </c>
      <c r="E239" s="1" t="s">
        <v>34</v>
      </c>
      <c r="F239" s="1" t="s">
        <v>40</v>
      </c>
      <c r="G239" s="1" t="s">
        <v>40</v>
      </c>
      <c r="H239" s="1"/>
      <c r="I239" s="1"/>
      <c r="J239" s="1" t="s">
        <v>19</v>
      </c>
      <c r="K239" s="1" t="s">
        <v>18</v>
      </c>
    </row>
    <row r="240" spans="1:11" x14ac:dyDescent="0.25">
      <c r="A240" s="1" t="s">
        <v>628</v>
      </c>
      <c r="B240" s="1" t="s">
        <v>629</v>
      </c>
      <c r="C240" s="1" t="s">
        <v>1</v>
      </c>
      <c r="D240" s="1" t="s">
        <v>1688</v>
      </c>
      <c r="E240" s="1" t="s">
        <v>34</v>
      </c>
      <c r="F240" s="1" t="s">
        <v>40</v>
      </c>
      <c r="G240" s="1" t="s">
        <v>40</v>
      </c>
      <c r="H240" s="1"/>
      <c r="I240" s="1"/>
      <c r="J240" s="1" t="s">
        <v>19</v>
      </c>
      <c r="K240" s="1" t="s">
        <v>18</v>
      </c>
    </row>
    <row r="241" spans="1:11" x14ac:dyDescent="0.25">
      <c r="A241" s="1" t="s">
        <v>630</v>
      </c>
      <c r="B241" s="1" t="s">
        <v>631</v>
      </c>
      <c r="C241" s="1" t="s">
        <v>203</v>
      </c>
      <c r="D241" s="1" t="s">
        <v>1689</v>
      </c>
      <c r="E241" s="1" t="s">
        <v>34</v>
      </c>
      <c r="F241" s="1" t="s">
        <v>37</v>
      </c>
      <c r="G241" s="1" t="s">
        <v>37</v>
      </c>
      <c r="H241" s="1"/>
      <c r="I241" s="1"/>
      <c r="J241" s="1" t="s">
        <v>19</v>
      </c>
      <c r="K241" s="1" t="s">
        <v>51</v>
      </c>
    </row>
    <row r="242" spans="1:11" x14ac:dyDescent="0.25">
      <c r="A242" s="1" t="s">
        <v>632</v>
      </c>
      <c r="B242" s="1" t="s">
        <v>633</v>
      </c>
      <c r="C242" s="1" t="s">
        <v>1</v>
      </c>
      <c r="D242" s="1" t="s">
        <v>1609</v>
      </c>
      <c r="E242" s="1" t="s">
        <v>34</v>
      </c>
      <c r="F242" s="1" t="s">
        <v>40</v>
      </c>
      <c r="G242" s="1" t="s">
        <v>40</v>
      </c>
      <c r="H242" s="1"/>
      <c r="I242" s="1"/>
      <c r="J242" s="1" t="s">
        <v>19</v>
      </c>
      <c r="K242" s="1" t="s">
        <v>18</v>
      </c>
    </row>
    <row r="243" spans="1:11" x14ac:dyDescent="0.25">
      <c r="A243" s="1" t="s">
        <v>635</v>
      </c>
      <c r="B243" s="1" t="s">
        <v>636</v>
      </c>
      <c r="C243" s="1" t="s">
        <v>63</v>
      </c>
      <c r="D243" s="1" t="s">
        <v>128</v>
      </c>
      <c r="E243" s="1" t="s">
        <v>34</v>
      </c>
      <c r="F243" s="1" t="s">
        <v>37</v>
      </c>
      <c r="G243" s="1" t="s">
        <v>37</v>
      </c>
      <c r="H243" s="1"/>
      <c r="I243" s="1"/>
      <c r="J243" s="1" t="s">
        <v>19</v>
      </c>
      <c r="K243" s="1" t="s">
        <v>18</v>
      </c>
    </row>
    <row r="244" spans="1:11" x14ac:dyDescent="0.25">
      <c r="A244" s="1" t="s">
        <v>637</v>
      </c>
      <c r="B244" s="1" t="s">
        <v>638</v>
      </c>
      <c r="C244" s="1" t="s">
        <v>31</v>
      </c>
      <c r="D244" s="1" t="s">
        <v>639</v>
      </c>
      <c r="E244" s="1" t="s">
        <v>34</v>
      </c>
      <c r="F244" s="1" t="s">
        <v>40</v>
      </c>
      <c r="G244" s="1" t="s">
        <v>40</v>
      </c>
      <c r="H244" s="1"/>
      <c r="I244" s="1"/>
      <c r="J244" s="1" t="s">
        <v>19</v>
      </c>
      <c r="K244" s="1" t="s">
        <v>18</v>
      </c>
    </row>
    <row r="245" spans="1:11" x14ac:dyDescent="0.25">
      <c r="A245" s="1" t="s">
        <v>640</v>
      </c>
      <c r="B245" s="1" t="s">
        <v>641</v>
      </c>
      <c r="C245" s="1" t="s">
        <v>70</v>
      </c>
      <c r="D245" s="1" t="s">
        <v>1690</v>
      </c>
      <c r="E245" s="1" t="s">
        <v>34</v>
      </c>
      <c r="F245" s="1" t="s">
        <v>40</v>
      </c>
      <c r="G245" s="1" t="s">
        <v>40</v>
      </c>
      <c r="H245" s="1"/>
      <c r="I245" s="1"/>
      <c r="J245" s="1" t="s">
        <v>19</v>
      </c>
      <c r="K245" s="1" t="s">
        <v>18</v>
      </c>
    </row>
    <row r="246" spans="1:11" x14ac:dyDescent="0.25">
      <c r="A246" s="1" t="s">
        <v>642</v>
      </c>
      <c r="B246" s="1" t="s">
        <v>643</v>
      </c>
      <c r="C246" s="1" t="s">
        <v>9</v>
      </c>
      <c r="D246" s="1" t="s">
        <v>1691</v>
      </c>
      <c r="E246" s="1" t="s">
        <v>34</v>
      </c>
      <c r="F246" s="1" t="s">
        <v>37</v>
      </c>
      <c r="G246" s="1" t="s">
        <v>37</v>
      </c>
      <c r="H246" s="1"/>
      <c r="I246" s="1"/>
      <c r="J246" s="1" t="s">
        <v>19</v>
      </c>
      <c r="K246" s="1" t="s">
        <v>18</v>
      </c>
    </row>
    <row r="247" spans="1:11" x14ac:dyDescent="0.25">
      <c r="A247" s="1" t="s">
        <v>644</v>
      </c>
      <c r="B247" s="1" t="s">
        <v>645</v>
      </c>
      <c r="C247" s="1" t="s">
        <v>1</v>
      </c>
      <c r="D247" s="1" t="s">
        <v>1692</v>
      </c>
      <c r="E247" s="1" t="s">
        <v>34</v>
      </c>
      <c r="F247" s="1" t="s">
        <v>40</v>
      </c>
      <c r="G247" s="1" t="s">
        <v>40</v>
      </c>
      <c r="H247" s="1"/>
      <c r="I247" s="1"/>
      <c r="J247" s="1" t="s">
        <v>19</v>
      </c>
      <c r="K247" s="1" t="s">
        <v>18</v>
      </c>
    </row>
    <row r="248" spans="1:11" x14ac:dyDescent="0.25">
      <c r="A248" s="1" t="s">
        <v>646</v>
      </c>
      <c r="B248" s="1" t="s">
        <v>647</v>
      </c>
      <c r="C248" s="1" t="s">
        <v>203</v>
      </c>
      <c r="D248" s="1" t="s">
        <v>1693</v>
      </c>
      <c r="E248" s="1" t="s">
        <v>34</v>
      </c>
      <c r="F248" s="1" t="s">
        <v>40</v>
      </c>
      <c r="G248" s="1" t="s">
        <v>40</v>
      </c>
      <c r="H248" s="1"/>
      <c r="I248" s="1"/>
      <c r="J248" s="1" t="s">
        <v>19</v>
      </c>
      <c r="K248" s="1" t="s">
        <v>18</v>
      </c>
    </row>
    <row r="249" spans="1:11" x14ac:dyDescent="0.25">
      <c r="A249" s="1" t="s">
        <v>648</v>
      </c>
      <c r="B249" s="1" t="s">
        <v>649</v>
      </c>
      <c r="C249" s="1" t="s">
        <v>1</v>
      </c>
      <c r="D249" s="1" t="s">
        <v>1694</v>
      </c>
      <c r="E249" s="1" t="s">
        <v>34</v>
      </c>
      <c r="F249" s="1" t="s">
        <v>650</v>
      </c>
      <c r="G249" s="1" t="s">
        <v>650</v>
      </c>
      <c r="H249" s="1"/>
      <c r="I249" s="1"/>
      <c r="J249" s="1" t="s">
        <v>19</v>
      </c>
      <c r="K249" s="1" t="s">
        <v>18</v>
      </c>
    </row>
    <row r="250" spans="1:11" x14ac:dyDescent="0.25">
      <c r="A250" s="1" t="s">
        <v>651</v>
      </c>
      <c r="B250" s="1" t="s">
        <v>652</v>
      </c>
      <c r="C250" s="1" t="s">
        <v>97</v>
      </c>
      <c r="D250" s="1" t="s">
        <v>1695</v>
      </c>
      <c r="E250" s="1" t="s">
        <v>653</v>
      </c>
      <c r="F250" s="1" t="s">
        <v>98</v>
      </c>
      <c r="G250" s="1" t="s">
        <v>98</v>
      </c>
      <c r="H250" s="1"/>
      <c r="I250" s="1" t="s">
        <v>10</v>
      </c>
      <c r="J250" s="1" t="s">
        <v>19</v>
      </c>
      <c r="K250" s="1" t="s">
        <v>18</v>
      </c>
    </row>
    <row r="251" spans="1:11" x14ac:dyDescent="0.25">
      <c r="A251" s="1" t="s">
        <v>654</v>
      </c>
      <c r="B251" s="1" t="s">
        <v>655</v>
      </c>
      <c r="C251" s="1" t="s">
        <v>97</v>
      </c>
      <c r="D251" s="1" t="s">
        <v>1654</v>
      </c>
      <c r="E251" s="1" t="s">
        <v>653</v>
      </c>
      <c r="F251" s="1" t="s">
        <v>98</v>
      </c>
      <c r="G251" s="1" t="s">
        <v>98</v>
      </c>
      <c r="H251" s="1"/>
      <c r="I251" s="1" t="s">
        <v>10</v>
      </c>
      <c r="J251" s="1" t="s">
        <v>19</v>
      </c>
      <c r="K251" s="1" t="s">
        <v>18</v>
      </c>
    </row>
    <row r="252" spans="1:11" x14ac:dyDescent="0.25">
      <c r="A252" s="1" t="s">
        <v>656</v>
      </c>
      <c r="B252" s="1" t="s">
        <v>657</v>
      </c>
      <c r="C252" s="1" t="s">
        <v>97</v>
      </c>
      <c r="D252" s="1" t="s">
        <v>1696</v>
      </c>
      <c r="E252" s="1" t="s">
        <v>653</v>
      </c>
      <c r="F252" s="1" t="s">
        <v>98</v>
      </c>
      <c r="G252" s="1" t="s">
        <v>98</v>
      </c>
      <c r="H252" s="1"/>
      <c r="I252" s="1" t="s">
        <v>10</v>
      </c>
      <c r="J252" s="1" t="s">
        <v>19</v>
      </c>
      <c r="K252" s="1" t="s">
        <v>18</v>
      </c>
    </row>
    <row r="253" spans="1:11" x14ac:dyDescent="0.25">
      <c r="A253" s="1" t="s">
        <v>658</v>
      </c>
      <c r="B253" s="1" t="s">
        <v>659</v>
      </c>
      <c r="C253" s="1" t="s">
        <v>97</v>
      </c>
      <c r="D253" s="1" t="s">
        <v>1697</v>
      </c>
      <c r="E253" s="1" t="s">
        <v>653</v>
      </c>
      <c r="F253" s="1" t="s">
        <v>98</v>
      </c>
      <c r="G253" s="1" t="s">
        <v>98</v>
      </c>
      <c r="H253" s="1"/>
      <c r="I253" s="1" t="s">
        <v>10</v>
      </c>
      <c r="J253" s="1" t="s">
        <v>19</v>
      </c>
      <c r="K253" s="1" t="s">
        <v>18</v>
      </c>
    </row>
    <row r="254" spans="1:11" x14ac:dyDescent="0.25">
      <c r="A254" s="1" t="s">
        <v>660</v>
      </c>
      <c r="B254" s="1" t="s">
        <v>661</v>
      </c>
      <c r="C254" s="1" t="s">
        <v>63</v>
      </c>
      <c r="D254" s="1" t="s">
        <v>1539</v>
      </c>
      <c r="E254" s="1" t="s">
        <v>653</v>
      </c>
      <c r="F254" s="1" t="s">
        <v>98</v>
      </c>
      <c r="G254" s="1" t="s">
        <v>98</v>
      </c>
      <c r="H254" s="1"/>
      <c r="I254" s="1" t="s">
        <v>10</v>
      </c>
      <c r="J254" s="1" t="s">
        <v>19</v>
      </c>
      <c r="K254" s="1" t="s">
        <v>18</v>
      </c>
    </row>
    <row r="255" spans="1:11" x14ac:dyDescent="0.25">
      <c r="A255" s="1" t="s">
        <v>662</v>
      </c>
      <c r="B255" s="1" t="s">
        <v>663</v>
      </c>
      <c r="C255" s="1" t="s">
        <v>97</v>
      </c>
      <c r="D255" s="1" t="s">
        <v>1698</v>
      </c>
      <c r="E255" s="1" t="s">
        <v>653</v>
      </c>
      <c r="F255" s="1" t="s">
        <v>98</v>
      </c>
      <c r="G255" s="1" t="s">
        <v>98</v>
      </c>
      <c r="H255" s="1"/>
      <c r="I255" s="1" t="s">
        <v>10</v>
      </c>
      <c r="J255" s="1" t="s">
        <v>19</v>
      </c>
      <c r="K255" s="1" t="s">
        <v>18</v>
      </c>
    </row>
    <row r="256" spans="1:11" x14ac:dyDescent="0.25">
      <c r="A256" s="1" t="s">
        <v>664</v>
      </c>
      <c r="B256" s="1" t="s">
        <v>665</v>
      </c>
      <c r="C256" s="1" t="s">
        <v>97</v>
      </c>
      <c r="D256" s="1" t="s">
        <v>1699</v>
      </c>
      <c r="E256" s="1" t="s">
        <v>653</v>
      </c>
      <c r="F256" s="1" t="s">
        <v>98</v>
      </c>
      <c r="G256" s="1" t="s">
        <v>98</v>
      </c>
      <c r="H256" s="1"/>
      <c r="I256" s="1" t="s">
        <v>10</v>
      </c>
      <c r="J256" s="1" t="s">
        <v>19</v>
      </c>
      <c r="K256" s="1" t="s">
        <v>18</v>
      </c>
    </row>
    <row r="257" spans="1:11" x14ac:dyDescent="0.25">
      <c r="A257" s="1" t="s">
        <v>666</v>
      </c>
      <c r="B257" s="1" t="s">
        <v>667</v>
      </c>
      <c r="C257" s="1" t="s">
        <v>97</v>
      </c>
      <c r="D257" s="1" t="s">
        <v>695</v>
      </c>
      <c r="E257" s="1" t="s">
        <v>653</v>
      </c>
      <c r="F257" s="1" t="s">
        <v>98</v>
      </c>
      <c r="G257" s="1" t="s">
        <v>98</v>
      </c>
      <c r="H257" s="1"/>
      <c r="I257" s="1" t="s">
        <v>10</v>
      </c>
      <c r="J257" s="1" t="s">
        <v>19</v>
      </c>
      <c r="K257" s="1" t="s">
        <v>18</v>
      </c>
    </row>
    <row r="258" spans="1:11" x14ac:dyDescent="0.25">
      <c r="A258" s="1" t="s">
        <v>668</v>
      </c>
      <c r="B258" s="1" t="s">
        <v>669</v>
      </c>
      <c r="C258" s="1" t="s">
        <v>97</v>
      </c>
      <c r="D258" s="1" t="s">
        <v>1700</v>
      </c>
      <c r="E258" s="1" t="s">
        <v>653</v>
      </c>
      <c r="F258" s="1" t="s">
        <v>98</v>
      </c>
      <c r="G258" s="1" t="s">
        <v>98</v>
      </c>
      <c r="H258" s="1"/>
      <c r="I258" s="1" t="s">
        <v>10</v>
      </c>
      <c r="J258" s="1" t="s">
        <v>19</v>
      </c>
      <c r="K258" s="1" t="s">
        <v>18</v>
      </c>
    </row>
    <row r="259" spans="1:11" x14ac:dyDescent="0.25">
      <c r="A259" s="1" t="s">
        <v>670</v>
      </c>
      <c r="B259" s="1" t="s">
        <v>671</v>
      </c>
      <c r="C259" s="1" t="s">
        <v>97</v>
      </c>
      <c r="D259" s="1" t="s">
        <v>1701</v>
      </c>
      <c r="E259" s="1" t="s">
        <v>653</v>
      </c>
      <c r="F259" s="1" t="s">
        <v>98</v>
      </c>
      <c r="G259" s="1" t="s">
        <v>98</v>
      </c>
      <c r="H259" s="1"/>
      <c r="I259" s="1" t="s">
        <v>10</v>
      </c>
      <c r="J259" s="1" t="s">
        <v>19</v>
      </c>
      <c r="K259" s="1" t="s">
        <v>18</v>
      </c>
    </row>
    <row r="260" spans="1:11" x14ac:dyDescent="0.25">
      <c r="A260" s="1" t="s">
        <v>672</v>
      </c>
      <c r="B260" s="1" t="s">
        <v>673</v>
      </c>
      <c r="C260" s="1" t="s">
        <v>97</v>
      </c>
      <c r="D260" s="1" t="s">
        <v>674</v>
      </c>
      <c r="E260" s="1" t="s">
        <v>653</v>
      </c>
      <c r="F260" s="1" t="s">
        <v>98</v>
      </c>
      <c r="G260" s="1" t="s">
        <v>98</v>
      </c>
      <c r="H260" s="1"/>
      <c r="I260" s="1" t="s">
        <v>10</v>
      </c>
      <c r="J260" s="1" t="s">
        <v>19</v>
      </c>
      <c r="K260" s="1" t="s">
        <v>18</v>
      </c>
    </row>
    <row r="261" spans="1:11" x14ac:dyDescent="0.25">
      <c r="A261" s="1" t="s">
        <v>675</v>
      </c>
      <c r="B261" s="1" t="s">
        <v>676</v>
      </c>
      <c r="C261" s="1" t="s">
        <v>29</v>
      </c>
      <c r="D261" s="1" t="s">
        <v>1629</v>
      </c>
      <c r="E261" s="1" t="s">
        <v>653</v>
      </c>
      <c r="F261" s="1" t="s">
        <v>40</v>
      </c>
      <c r="G261" s="1" t="s">
        <v>40</v>
      </c>
      <c r="H261" s="1"/>
      <c r="I261" s="1" t="s">
        <v>10</v>
      </c>
      <c r="J261" s="1" t="s">
        <v>19</v>
      </c>
      <c r="K261" s="1" t="s">
        <v>18</v>
      </c>
    </row>
    <row r="262" spans="1:11" x14ac:dyDescent="0.25">
      <c r="A262" s="1" t="s">
        <v>677</v>
      </c>
      <c r="B262" s="1" t="s">
        <v>678</v>
      </c>
      <c r="C262" s="1" t="s">
        <v>97</v>
      </c>
      <c r="D262" s="1" t="s">
        <v>1702</v>
      </c>
      <c r="E262" s="1" t="s">
        <v>653</v>
      </c>
      <c r="F262" s="1" t="s">
        <v>40</v>
      </c>
      <c r="G262" s="1" t="s">
        <v>40</v>
      </c>
      <c r="H262" s="1"/>
      <c r="I262" s="1" t="s">
        <v>10</v>
      </c>
      <c r="J262" s="1" t="s">
        <v>19</v>
      </c>
      <c r="K262" s="1" t="s">
        <v>18</v>
      </c>
    </row>
    <row r="263" spans="1:11" x14ac:dyDescent="0.25">
      <c r="A263" s="1" t="s">
        <v>679</v>
      </c>
      <c r="B263" s="1" t="s">
        <v>680</v>
      </c>
      <c r="C263" s="1" t="s">
        <v>54</v>
      </c>
      <c r="D263" s="1" t="s">
        <v>1672</v>
      </c>
      <c r="E263" s="1" t="s">
        <v>653</v>
      </c>
      <c r="F263" s="1" t="s">
        <v>40</v>
      </c>
      <c r="G263" s="1" t="s">
        <v>40</v>
      </c>
      <c r="H263" s="1"/>
      <c r="I263" s="1" t="s">
        <v>10</v>
      </c>
      <c r="J263" s="1" t="s">
        <v>19</v>
      </c>
      <c r="K263" s="1" t="s">
        <v>18</v>
      </c>
    </row>
    <row r="264" spans="1:11" x14ac:dyDescent="0.25">
      <c r="A264" s="1" t="s">
        <v>681</v>
      </c>
      <c r="B264" s="1" t="s">
        <v>682</v>
      </c>
      <c r="C264" s="1" t="s">
        <v>70</v>
      </c>
      <c r="D264" s="1" t="s">
        <v>1565</v>
      </c>
      <c r="E264" s="1" t="s">
        <v>653</v>
      </c>
      <c r="F264" s="1" t="s">
        <v>40</v>
      </c>
      <c r="G264" s="1" t="s">
        <v>40</v>
      </c>
      <c r="H264" s="1"/>
      <c r="I264" s="1" t="s">
        <v>10</v>
      </c>
      <c r="J264" s="1" t="s">
        <v>19</v>
      </c>
      <c r="K264" s="1" t="s">
        <v>18</v>
      </c>
    </row>
    <row r="265" spans="1:11" x14ac:dyDescent="0.25">
      <c r="A265" s="1" t="s">
        <v>683</v>
      </c>
      <c r="B265" s="1" t="s">
        <v>684</v>
      </c>
      <c r="C265" s="1" t="s">
        <v>70</v>
      </c>
      <c r="D265" s="1" t="s">
        <v>1703</v>
      </c>
      <c r="E265" s="1" t="s">
        <v>653</v>
      </c>
      <c r="F265" s="1" t="s">
        <v>40</v>
      </c>
      <c r="G265" s="1" t="s">
        <v>40</v>
      </c>
      <c r="H265" s="1"/>
      <c r="I265" s="1" t="s">
        <v>10</v>
      </c>
      <c r="J265" s="1" t="s">
        <v>19</v>
      </c>
      <c r="K265" s="1" t="s">
        <v>18</v>
      </c>
    </row>
    <row r="266" spans="1:11" x14ac:dyDescent="0.25">
      <c r="A266" s="1" t="s">
        <v>685</v>
      </c>
      <c r="B266" s="1" t="s">
        <v>686</v>
      </c>
      <c r="C266" s="1" t="s">
        <v>31</v>
      </c>
      <c r="D266" s="1" t="s">
        <v>1704</v>
      </c>
      <c r="E266" s="1" t="s">
        <v>653</v>
      </c>
      <c r="F266" s="1" t="s">
        <v>40</v>
      </c>
      <c r="G266" s="1" t="s">
        <v>40</v>
      </c>
      <c r="H266" s="1"/>
      <c r="I266" s="1" t="s">
        <v>10</v>
      </c>
      <c r="J266" s="1" t="s">
        <v>19</v>
      </c>
      <c r="K266" s="1" t="s">
        <v>18</v>
      </c>
    </row>
    <row r="267" spans="1:11" x14ac:dyDescent="0.25">
      <c r="A267" s="1" t="s">
        <v>687</v>
      </c>
      <c r="B267" s="1" t="s">
        <v>688</v>
      </c>
      <c r="C267" s="1" t="s">
        <v>13</v>
      </c>
      <c r="D267" s="1" t="s">
        <v>1563</v>
      </c>
      <c r="E267" s="1" t="s">
        <v>653</v>
      </c>
      <c r="F267" s="1" t="s">
        <v>40</v>
      </c>
      <c r="G267" s="1" t="s">
        <v>40</v>
      </c>
      <c r="H267" s="1"/>
      <c r="I267" s="1" t="s">
        <v>10</v>
      </c>
      <c r="J267" s="1" t="s">
        <v>19</v>
      </c>
      <c r="K267" s="1" t="s">
        <v>18</v>
      </c>
    </row>
    <row r="268" spans="1:11" x14ac:dyDescent="0.25">
      <c r="A268" s="1" t="s">
        <v>689</v>
      </c>
      <c r="B268" s="1" t="s">
        <v>690</v>
      </c>
      <c r="C268" s="1" t="s">
        <v>1705</v>
      </c>
      <c r="D268" s="1" t="s">
        <v>1706</v>
      </c>
      <c r="E268" s="1" t="s">
        <v>653</v>
      </c>
      <c r="F268" s="1" t="s">
        <v>331</v>
      </c>
      <c r="G268" s="1" t="s">
        <v>331</v>
      </c>
      <c r="H268" s="1"/>
      <c r="I268" s="1" t="s">
        <v>10</v>
      </c>
      <c r="J268" s="1" t="s">
        <v>19</v>
      </c>
      <c r="K268" s="1" t="s">
        <v>18</v>
      </c>
    </row>
    <row r="269" spans="1:11" x14ac:dyDescent="0.25">
      <c r="A269" s="1" t="s">
        <v>691</v>
      </c>
      <c r="B269" s="1" t="s">
        <v>692</v>
      </c>
      <c r="C269" s="1" t="s">
        <v>336</v>
      </c>
      <c r="D269" s="1" t="s">
        <v>383</v>
      </c>
      <c r="E269" s="1" t="s">
        <v>653</v>
      </c>
      <c r="F269" s="1" t="s">
        <v>331</v>
      </c>
      <c r="G269" s="1" t="s">
        <v>331</v>
      </c>
      <c r="H269" s="1"/>
      <c r="I269" s="1" t="s">
        <v>10</v>
      </c>
      <c r="J269" s="1" t="s">
        <v>19</v>
      </c>
      <c r="K269" s="1" t="s">
        <v>18</v>
      </c>
    </row>
    <row r="270" spans="1:11" x14ac:dyDescent="0.25">
      <c r="A270" s="1" t="s">
        <v>693</v>
      </c>
      <c r="B270" s="1" t="s">
        <v>694</v>
      </c>
      <c r="C270" s="1" t="s">
        <v>336</v>
      </c>
      <c r="D270" s="1" t="s">
        <v>1707</v>
      </c>
      <c r="E270" s="1" t="s">
        <v>653</v>
      </c>
      <c r="F270" s="1" t="s">
        <v>331</v>
      </c>
      <c r="G270" s="1" t="s">
        <v>331</v>
      </c>
      <c r="H270" s="1"/>
      <c r="I270" s="1" t="s">
        <v>10</v>
      </c>
      <c r="J270" s="1" t="s">
        <v>19</v>
      </c>
      <c r="K270" s="1" t="s">
        <v>18</v>
      </c>
    </row>
    <row r="271" spans="1:11" x14ac:dyDescent="0.25">
      <c r="A271" s="1" t="s">
        <v>696</v>
      </c>
      <c r="B271" s="1" t="s">
        <v>697</v>
      </c>
      <c r="C271" s="1" t="s">
        <v>336</v>
      </c>
      <c r="D271" s="1" t="s">
        <v>1708</v>
      </c>
      <c r="E271" s="1" t="s">
        <v>653</v>
      </c>
      <c r="F271" s="1" t="s">
        <v>331</v>
      </c>
      <c r="G271" s="1" t="s">
        <v>331</v>
      </c>
      <c r="H271" s="1"/>
      <c r="I271" s="1" t="s">
        <v>10</v>
      </c>
      <c r="J271" s="1" t="s">
        <v>19</v>
      </c>
      <c r="K271" s="1" t="s">
        <v>18</v>
      </c>
    </row>
    <row r="272" spans="1:11" x14ac:dyDescent="0.25">
      <c r="A272" s="1" t="s">
        <v>698</v>
      </c>
      <c r="B272" s="1" t="s">
        <v>699</v>
      </c>
      <c r="C272" s="1" t="s">
        <v>322</v>
      </c>
      <c r="D272" s="1" t="s">
        <v>1709</v>
      </c>
      <c r="E272" s="1" t="s">
        <v>653</v>
      </c>
      <c r="F272" s="1" t="s">
        <v>331</v>
      </c>
      <c r="G272" s="1" t="s">
        <v>331</v>
      </c>
      <c r="H272" s="1"/>
      <c r="I272" s="1" t="s">
        <v>10</v>
      </c>
      <c r="J272" s="1" t="s">
        <v>19</v>
      </c>
      <c r="K272" s="1" t="s">
        <v>18</v>
      </c>
    </row>
    <row r="273" spans="1:11" x14ac:dyDescent="0.25">
      <c r="A273" s="1" t="s">
        <v>700</v>
      </c>
      <c r="B273" s="1" t="s">
        <v>701</v>
      </c>
      <c r="C273" s="1" t="s">
        <v>97</v>
      </c>
      <c r="D273" s="1" t="s">
        <v>1710</v>
      </c>
      <c r="E273" s="1" t="s">
        <v>653</v>
      </c>
      <c r="F273" s="1" t="s">
        <v>331</v>
      </c>
      <c r="G273" s="1" t="s">
        <v>331</v>
      </c>
      <c r="H273" s="1"/>
      <c r="I273" s="1" t="s">
        <v>10</v>
      </c>
      <c r="J273" s="1" t="s">
        <v>19</v>
      </c>
      <c r="K273" s="1" t="s">
        <v>18</v>
      </c>
    </row>
    <row r="274" spans="1:11" x14ac:dyDescent="0.25">
      <c r="A274" s="1" t="s">
        <v>702</v>
      </c>
      <c r="B274" s="1" t="s">
        <v>703</v>
      </c>
      <c r="C274" s="1" t="s">
        <v>336</v>
      </c>
      <c r="D274" s="1" t="s">
        <v>1711</v>
      </c>
      <c r="E274" s="1" t="s">
        <v>653</v>
      </c>
      <c r="F274" s="1" t="s">
        <v>331</v>
      </c>
      <c r="G274" s="1" t="s">
        <v>331</v>
      </c>
      <c r="H274" s="1"/>
      <c r="I274" s="1" t="s">
        <v>10</v>
      </c>
      <c r="J274" s="1" t="s">
        <v>19</v>
      </c>
      <c r="K274" s="1" t="s">
        <v>18</v>
      </c>
    </row>
    <row r="275" spans="1:11" x14ac:dyDescent="0.25">
      <c r="A275" s="1" t="s">
        <v>704</v>
      </c>
      <c r="B275" s="1" t="s">
        <v>705</v>
      </c>
      <c r="C275" s="1" t="s">
        <v>30</v>
      </c>
      <c r="D275" s="1" t="s">
        <v>1712</v>
      </c>
      <c r="E275" s="1" t="s">
        <v>653</v>
      </c>
      <c r="F275" s="1" t="s">
        <v>331</v>
      </c>
      <c r="G275" s="1" t="s">
        <v>331</v>
      </c>
      <c r="H275" s="1"/>
      <c r="I275" s="1" t="s">
        <v>10</v>
      </c>
      <c r="J275" s="1" t="s">
        <v>19</v>
      </c>
      <c r="K275" s="1" t="s">
        <v>18</v>
      </c>
    </row>
    <row r="276" spans="1:11" x14ac:dyDescent="0.25">
      <c r="A276" s="1" t="s">
        <v>706</v>
      </c>
      <c r="B276" s="1" t="s">
        <v>707</v>
      </c>
      <c r="C276" s="1" t="s">
        <v>54</v>
      </c>
      <c r="D276" s="1" t="s">
        <v>1713</v>
      </c>
      <c r="E276" s="1" t="s">
        <v>653</v>
      </c>
      <c r="F276" s="1" t="s">
        <v>331</v>
      </c>
      <c r="G276" s="1" t="s">
        <v>331</v>
      </c>
      <c r="H276" s="1"/>
      <c r="I276" s="1" t="s">
        <v>10</v>
      </c>
      <c r="J276" s="1" t="s">
        <v>19</v>
      </c>
      <c r="K276" s="1" t="s">
        <v>18</v>
      </c>
    </row>
    <row r="277" spans="1:11" x14ac:dyDescent="0.25">
      <c r="A277" s="1" t="s">
        <v>708</v>
      </c>
      <c r="B277" s="1" t="s">
        <v>709</v>
      </c>
      <c r="C277" s="1" t="s">
        <v>405</v>
      </c>
      <c r="D277" s="1" t="s">
        <v>1714</v>
      </c>
      <c r="E277" s="1" t="s">
        <v>653</v>
      </c>
      <c r="F277" s="1" t="s">
        <v>331</v>
      </c>
      <c r="G277" s="1" t="s">
        <v>331</v>
      </c>
      <c r="H277" s="1"/>
      <c r="I277" s="1" t="s">
        <v>10</v>
      </c>
      <c r="J277" s="1" t="s">
        <v>19</v>
      </c>
      <c r="K277" s="1" t="s">
        <v>18</v>
      </c>
    </row>
    <row r="278" spans="1:11" x14ac:dyDescent="0.25">
      <c r="A278" s="1" t="s">
        <v>710</v>
      </c>
      <c r="B278" s="1" t="s">
        <v>711</v>
      </c>
      <c r="C278" s="1" t="s">
        <v>336</v>
      </c>
      <c r="D278" s="1" t="s">
        <v>1715</v>
      </c>
      <c r="E278" s="1" t="s">
        <v>653</v>
      </c>
      <c r="F278" s="1" t="s">
        <v>331</v>
      </c>
      <c r="G278" s="1" t="s">
        <v>331</v>
      </c>
      <c r="H278" s="1"/>
      <c r="I278" s="1" t="s">
        <v>10</v>
      </c>
      <c r="J278" s="1" t="s">
        <v>19</v>
      </c>
      <c r="K278" s="1" t="s">
        <v>18</v>
      </c>
    </row>
    <row r="279" spans="1:11" x14ac:dyDescent="0.25">
      <c r="A279" s="1" t="s">
        <v>712</v>
      </c>
      <c r="B279" s="1" t="s">
        <v>713</v>
      </c>
      <c r="C279" s="1" t="s">
        <v>336</v>
      </c>
      <c r="D279" s="1" t="s">
        <v>1716</v>
      </c>
      <c r="E279" s="1" t="s">
        <v>653</v>
      </c>
      <c r="F279" s="1" t="s">
        <v>331</v>
      </c>
      <c r="G279" s="1" t="s">
        <v>331</v>
      </c>
      <c r="H279" s="1"/>
      <c r="I279" s="1" t="s">
        <v>10</v>
      </c>
      <c r="J279" s="1" t="s">
        <v>19</v>
      </c>
      <c r="K279" s="1" t="s">
        <v>18</v>
      </c>
    </row>
    <row r="280" spans="1:11" x14ac:dyDescent="0.25">
      <c r="A280" s="1" t="s">
        <v>714</v>
      </c>
      <c r="B280" s="1" t="s">
        <v>715</v>
      </c>
      <c r="C280" s="1" t="s">
        <v>28</v>
      </c>
      <c r="D280" s="1" t="s">
        <v>104</v>
      </c>
      <c r="E280" s="1" t="s">
        <v>653</v>
      </c>
      <c r="F280" s="1" t="s">
        <v>331</v>
      </c>
      <c r="G280" s="1" t="s">
        <v>331</v>
      </c>
      <c r="H280" s="1"/>
      <c r="I280" s="1" t="s">
        <v>10</v>
      </c>
      <c r="J280" s="1" t="s">
        <v>19</v>
      </c>
      <c r="K280" s="1" t="s">
        <v>18</v>
      </c>
    </row>
    <row r="281" spans="1:11" x14ac:dyDescent="0.25">
      <c r="A281" s="1" t="s">
        <v>716</v>
      </c>
      <c r="B281" s="1" t="s">
        <v>717</v>
      </c>
      <c r="C281" s="1" t="s">
        <v>322</v>
      </c>
      <c r="D281" s="1" t="s">
        <v>718</v>
      </c>
      <c r="E281" s="1" t="s">
        <v>653</v>
      </c>
      <c r="F281" s="1" t="s">
        <v>331</v>
      </c>
      <c r="G281" s="1" t="s">
        <v>331</v>
      </c>
      <c r="H281" s="1"/>
      <c r="I281" s="1" t="s">
        <v>10</v>
      </c>
      <c r="J281" s="1" t="s">
        <v>19</v>
      </c>
      <c r="K281" s="1" t="s">
        <v>18</v>
      </c>
    </row>
    <row r="282" spans="1:11" x14ac:dyDescent="0.25">
      <c r="A282" s="1" t="s">
        <v>719</v>
      </c>
      <c r="B282" s="1" t="s">
        <v>720</v>
      </c>
      <c r="C282" s="1" t="s">
        <v>336</v>
      </c>
      <c r="D282" s="1" t="s">
        <v>1717</v>
      </c>
      <c r="E282" s="1" t="s">
        <v>653</v>
      </c>
      <c r="F282" s="1" t="s">
        <v>331</v>
      </c>
      <c r="G282" s="1" t="s">
        <v>331</v>
      </c>
      <c r="H282" s="1"/>
      <c r="I282" s="1" t="s">
        <v>10</v>
      </c>
      <c r="J282" s="1" t="s">
        <v>19</v>
      </c>
      <c r="K282" s="1" t="s">
        <v>18</v>
      </c>
    </row>
    <row r="283" spans="1:11" x14ac:dyDescent="0.25">
      <c r="A283" s="1" t="s">
        <v>721</v>
      </c>
      <c r="B283" s="1" t="s">
        <v>722</v>
      </c>
      <c r="C283" s="1" t="s">
        <v>29</v>
      </c>
      <c r="D283" s="1" t="s">
        <v>554</v>
      </c>
      <c r="E283" s="1" t="s">
        <v>653</v>
      </c>
      <c r="F283" s="1" t="s">
        <v>40</v>
      </c>
      <c r="G283" s="1" t="s">
        <v>40</v>
      </c>
      <c r="H283" s="1"/>
      <c r="I283" s="1" t="s">
        <v>10</v>
      </c>
      <c r="J283" s="1" t="s">
        <v>19</v>
      </c>
      <c r="K283" s="1" t="s">
        <v>18</v>
      </c>
    </row>
    <row r="284" spans="1:11" x14ac:dyDescent="0.25">
      <c r="A284" s="1" t="s">
        <v>723</v>
      </c>
      <c r="B284" s="1" t="s">
        <v>724</v>
      </c>
      <c r="C284" s="1" t="s">
        <v>31</v>
      </c>
      <c r="D284" s="1" t="s">
        <v>1711</v>
      </c>
      <c r="E284" s="1" t="s">
        <v>653</v>
      </c>
      <c r="F284" s="1" t="s">
        <v>40</v>
      </c>
      <c r="G284" s="1" t="s">
        <v>40</v>
      </c>
      <c r="H284" s="1"/>
      <c r="I284" s="1" t="s">
        <v>10</v>
      </c>
      <c r="J284" s="1" t="s">
        <v>19</v>
      </c>
      <c r="K284" s="1" t="s">
        <v>18</v>
      </c>
    </row>
    <row r="285" spans="1:11" x14ac:dyDescent="0.25">
      <c r="A285" s="1" t="s">
        <v>725</v>
      </c>
      <c r="B285" s="1" t="s">
        <v>726</v>
      </c>
      <c r="C285" s="1" t="s">
        <v>430</v>
      </c>
      <c r="D285" s="1" t="s">
        <v>1718</v>
      </c>
      <c r="E285" s="1" t="s">
        <v>653</v>
      </c>
      <c r="F285" s="1" t="s">
        <v>40</v>
      </c>
      <c r="G285" s="1" t="s">
        <v>40</v>
      </c>
      <c r="H285" s="1"/>
      <c r="I285" s="1" t="s">
        <v>10</v>
      </c>
      <c r="J285" s="1" t="s">
        <v>19</v>
      </c>
      <c r="K285" s="1" t="s">
        <v>18</v>
      </c>
    </row>
    <row r="286" spans="1:11" x14ac:dyDescent="0.25">
      <c r="A286" s="1" t="s">
        <v>727</v>
      </c>
      <c r="B286" s="1" t="s">
        <v>728</v>
      </c>
      <c r="C286" s="1" t="s">
        <v>31</v>
      </c>
      <c r="D286" s="1" t="s">
        <v>383</v>
      </c>
      <c r="E286" s="1" t="s">
        <v>653</v>
      </c>
      <c r="F286" s="1" t="s">
        <v>40</v>
      </c>
      <c r="G286" s="1" t="s">
        <v>40</v>
      </c>
      <c r="H286" s="1"/>
      <c r="I286" s="1" t="s">
        <v>10</v>
      </c>
      <c r="J286" s="1" t="s">
        <v>19</v>
      </c>
      <c r="K286" s="1" t="s">
        <v>18</v>
      </c>
    </row>
    <row r="287" spans="1:11" x14ac:dyDescent="0.25">
      <c r="A287" s="1" t="s">
        <v>729</v>
      </c>
      <c r="B287" s="1" t="s">
        <v>730</v>
      </c>
      <c r="C287" s="1" t="s">
        <v>29</v>
      </c>
      <c r="D287" s="1" t="s">
        <v>1719</v>
      </c>
      <c r="E287" s="1" t="s">
        <v>653</v>
      </c>
      <c r="F287" s="1" t="s">
        <v>40</v>
      </c>
      <c r="G287" s="1" t="s">
        <v>40</v>
      </c>
      <c r="H287" s="1"/>
      <c r="I287" s="1" t="s">
        <v>10</v>
      </c>
      <c r="J287" s="1" t="s">
        <v>19</v>
      </c>
      <c r="K287" s="1" t="s">
        <v>18</v>
      </c>
    </row>
    <row r="288" spans="1:11" x14ac:dyDescent="0.25">
      <c r="A288" s="1" t="s">
        <v>731</v>
      </c>
      <c r="B288" s="1" t="s">
        <v>732</v>
      </c>
      <c r="C288" s="1" t="s">
        <v>31</v>
      </c>
      <c r="D288" s="1" t="s">
        <v>1570</v>
      </c>
      <c r="E288" s="1" t="s">
        <v>653</v>
      </c>
      <c r="F288" s="1" t="s">
        <v>40</v>
      </c>
      <c r="G288" s="1" t="s">
        <v>40</v>
      </c>
      <c r="H288" s="1"/>
      <c r="I288" s="1" t="s">
        <v>10</v>
      </c>
      <c r="J288" s="1" t="s">
        <v>19</v>
      </c>
      <c r="K288" s="1" t="s">
        <v>18</v>
      </c>
    </row>
    <row r="289" spans="1:11" x14ac:dyDescent="0.25">
      <c r="A289" s="1" t="s">
        <v>733</v>
      </c>
      <c r="B289" s="1" t="s">
        <v>734</v>
      </c>
      <c r="C289" s="1" t="s">
        <v>70</v>
      </c>
      <c r="D289" s="1" t="s">
        <v>1720</v>
      </c>
      <c r="E289" s="1" t="s">
        <v>653</v>
      </c>
      <c r="F289" s="1" t="s">
        <v>40</v>
      </c>
      <c r="G289" s="1" t="s">
        <v>40</v>
      </c>
      <c r="H289" s="1"/>
      <c r="I289" s="1" t="s">
        <v>10</v>
      </c>
      <c r="J289" s="1" t="s">
        <v>19</v>
      </c>
      <c r="K289" s="1" t="s">
        <v>18</v>
      </c>
    </row>
    <row r="290" spans="1:11" x14ac:dyDescent="0.25">
      <c r="A290" s="1" t="s">
        <v>735</v>
      </c>
      <c r="B290" s="1" t="s">
        <v>736</v>
      </c>
      <c r="C290" s="1" t="s">
        <v>1705</v>
      </c>
      <c r="D290" s="1" t="s">
        <v>1721</v>
      </c>
      <c r="E290" s="1" t="s">
        <v>653</v>
      </c>
      <c r="F290" s="1" t="s">
        <v>40</v>
      </c>
      <c r="G290" s="1" t="s">
        <v>40</v>
      </c>
      <c r="H290" s="1"/>
      <c r="I290" s="1" t="s">
        <v>10</v>
      </c>
      <c r="J290" s="1" t="s">
        <v>19</v>
      </c>
      <c r="K290" s="1" t="s">
        <v>18</v>
      </c>
    </row>
    <row r="291" spans="1:11" x14ac:dyDescent="0.25">
      <c r="A291" s="1" t="s">
        <v>737</v>
      </c>
      <c r="B291" s="1" t="s">
        <v>738</v>
      </c>
      <c r="C291" s="1" t="s">
        <v>70</v>
      </c>
      <c r="D291" s="1" t="s">
        <v>535</v>
      </c>
      <c r="E291" s="1" t="s">
        <v>653</v>
      </c>
      <c r="F291" s="1" t="s">
        <v>40</v>
      </c>
      <c r="G291" s="1" t="s">
        <v>40</v>
      </c>
      <c r="H291" s="1"/>
      <c r="I291" s="1" t="s">
        <v>10</v>
      </c>
      <c r="J291" s="1" t="s">
        <v>19</v>
      </c>
      <c r="K291" s="1" t="s">
        <v>18</v>
      </c>
    </row>
    <row r="292" spans="1:11" x14ac:dyDescent="0.25">
      <c r="A292" s="1" t="s">
        <v>739</v>
      </c>
      <c r="B292" s="1" t="s">
        <v>740</v>
      </c>
      <c r="C292" s="1" t="s">
        <v>31</v>
      </c>
      <c r="D292" s="1" t="s">
        <v>1722</v>
      </c>
      <c r="E292" s="1" t="s">
        <v>653</v>
      </c>
      <c r="F292" s="1" t="s">
        <v>40</v>
      </c>
      <c r="G292" s="1" t="s">
        <v>40</v>
      </c>
      <c r="H292" s="1"/>
      <c r="I292" s="1" t="s">
        <v>10</v>
      </c>
      <c r="J292" s="1" t="s">
        <v>19</v>
      </c>
      <c r="K292" s="1" t="s">
        <v>18</v>
      </c>
    </row>
    <row r="293" spans="1:11" x14ac:dyDescent="0.25">
      <c r="A293" s="1" t="s">
        <v>741</v>
      </c>
      <c r="B293" s="1" t="s">
        <v>742</v>
      </c>
      <c r="C293" s="1" t="s">
        <v>30</v>
      </c>
      <c r="D293" s="1" t="s">
        <v>1723</v>
      </c>
      <c r="E293" s="1" t="s">
        <v>653</v>
      </c>
      <c r="F293" s="1" t="s">
        <v>40</v>
      </c>
      <c r="G293" s="1" t="s">
        <v>40</v>
      </c>
      <c r="H293" s="1"/>
      <c r="I293" s="1" t="s">
        <v>10</v>
      </c>
      <c r="J293" s="1" t="s">
        <v>19</v>
      </c>
      <c r="K293" s="1" t="s">
        <v>18</v>
      </c>
    </row>
    <row r="294" spans="1:11" x14ac:dyDescent="0.25">
      <c r="A294" s="1" t="s">
        <v>743</v>
      </c>
      <c r="B294" s="1" t="s">
        <v>744</v>
      </c>
      <c r="C294" s="1" t="s">
        <v>745</v>
      </c>
      <c r="D294" s="1" t="s">
        <v>1724</v>
      </c>
      <c r="E294" s="1" t="s">
        <v>746</v>
      </c>
      <c r="F294" s="1" t="s">
        <v>40</v>
      </c>
      <c r="G294" s="1" t="s">
        <v>40</v>
      </c>
      <c r="H294" s="1" t="s">
        <v>747</v>
      </c>
      <c r="I294" s="1"/>
      <c r="J294" s="1" t="s">
        <v>19</v>
      </c>
      <c r="K294" s="1" t="s">
        <v>18</v>
      </c>
    </row>
    <row r="295" spans="1:11" x14ac:dyDescent="0.25">
      <c r="A295" s="1" t="s">
        <v>748</v>
      </c>
      <c r="B295" s="1" t="s">
        <v>749</v>
      </c>
      <c r="C295" s="1" t="s">
        <v>779</v>
      </c>
      <c r="D295" s="1" t="s">
        <v>1725</v>
      </c>
      <c r="E295" s="1" t="s">
        <v>35</v>
      </c>
      <c r="F295" s="1" t="s">
        <v>40</v>
      </c>
      <c r="G295" s="1" t="s">
        <v>40</v>
      </c>
      <c r="H295" s="1"/>
      <c r="I295" s="1"/>
      <c r="J295" s="1" t="s">
        <v>19</v>
      </c>
      <c r="K295" s="1" t="s">
        <v>18</v>
      </c>
    </row>
    <row r="296" spans="1:11" x14ac:dyDescent="0.25">
      <c r="A296" s="1" t="s">
        <v>750</v>
      </c>
      <c r="B296" s="1" t="s">
        <v>751</v>
      </c>
      <c r="C296" s="1" t="s">
        <v>752</v>
      </c>
      <c r="D296" s="1" t="s">
        <v>1654</v>
      </c>
      <c r="E296" s="1" t="s">
        <v>35</v>
      </c>
      <c r="F296" s="1" t="s">
        <v>40</v>
      </c>
      <c r="G296" s="1" t="s">
        <v>40</v>
      </c>
      <c r="H296" s="1"/>
      <c r="I296" s="1"/>
      <c r="J296" s="1" t="s">
        <v>19</v>
      </c>
      <c r="K296" s="1" t="s">
        <v>18</v>
      </c>
    </row>
    <row r="297" spans="1:11" x14ac:dyDescent="0.25">
      <c r="A297" s="1" t="s">
        <v>753</v>
      </c>
      <c r="B297" s="1" t="s">
        <v>754</v>
      </c>
      <c r="C297" s="1" t="s">
        <v>43</v>
      </c>
      <c r="D297" s="1" t="s">
        <v>1726</v>
      </c>
      <c r="E297" s="1" t="s">
        <v>35</v>
      </c>
      <c r="F297" s="1" t="s">
        <v>40</v>
      </c>
      <c r="G297" s="1" t="s">
        <v>40</v>
      </c>
      <c r="H297" s="1"/>
      <c r="I297" s="1"/>
      <c r="J297" s="1" t="s">
        <v>19</v>
      </c>
      <c r="K297" s="1" t="s">
        <v>18</v>
      </c>
    </row>
    <row r="298" spans="1:11" x14ac:dyDescent="0.25">
      <c r="A298" s="1" t="s">
        <v>755</v>
      </c>
      <c r="B298" s="1" t="s">
        <v>756</v>
      </c>
      <c r="C298" s="1" t="s">
        <v>43</v>
      </c>
      <c r="D298" s="1" t="s">
        <v>1727</v>
      </c>
      <c r="E298" s="1" t="s">
        <v>35</v>
      </c>
      <c r="F298" s="1" t="s">
        <v>40</v>
      </c>
      <c r="G298" s="1" t="s">
        <v>40</v>
      </c>
      <c r="H298" s="1"/>
      <c r="I298" s="1"/>
      <c r="J298" s="1" t="s">
        <v>19</v>
      </c>
      <c r="K298" s="1" t="s">
        <v>18</v>
      </c>
    </row>
    <row r="299" spans="1:11" x14ac:dyDescent="0.25">
      <c r="A299" s="1" t="s">
        <v>757</v>
      </c>
      <c r="B299" s="1" t="s">
        <v>758</v>
      </c>
      <c r="C299" s="1" t="s">
        <v>759</v>
      </c>
      <c r="D299" s="1" t="s">
        <v>1728</v>
      </c>
      <c r="E299" s="1" t="s">
        <v>760</v>
      </c>
      <c r="F299" s="1" t="s">
        <v>40</v>
      </c>
      <c r="G299" s="1" t="s">
        <v>40</v>
      </c>
      <c r="H299" s="1"/>
      <c r="I299" s="1"/>
      <c r="J299" s="1" t="s">
        <v>19</v>
      </c>
      <c r="K299" s="1" t="s">
        <v>18</v>
      </c>
    </row>
    <row r="300" spans="1:11" x14ac:dyDescent="0.25">
      <c r="A300" s="1" t="s">
        <v>761</v>
      </c>
      <c r="B300" s="1" t="s">
        <v>762</v>
      </c>
      <c r="C300" s="1" t="s">
        <v>759</v>
      </c>
      <c r="D300" s="1" t="s">
        <v>1729</v>
      </c>
      <c r="E300" s="1" t="s">
        <v>760</v>
      </c>
      <c r="F300" s="1" t="s">
        <v>40</v>
      </c>
      <c r="G300" s="1" t="s">
        <v>40</v>
      </c>
      <c r="H300" s="1"/>
      <c r="I300" s="1"/>
      <c r="J300" s="1" t="s">
        <v>19</v>
      </c>
      <c r="K300" s="1" t="s">
        <v>18</v>
      </c>
    </row>
    <row r="301" spans="1:11" x14ac:dyDescent="0.25">
      <c r="A301" s="1" t="s">
        <v>763</v>
      </c>
      <c r="B301" s="1" t="s">
        <v>764</v>
      </c>
      <c r="C301" s="1" t="s">
        <v>759</v>
      </c>
      <c r="D301" s="1" t="s">
        <v>1730</v>
      </c>
      <c r="E301" s="1" t="s">
        <v>760</v>
      </c>
      <c r="F301" s="1" t="s">
        <v>40</v>
      </c>
      <c r="G301" s="1" t="s">
        <v>40</v>
      </c>
      <c r="H301" s="1"/>
      <c r="I301" s="1"/>
      <c r="J301" s="1" t="s">
        <v>19</v>
      </c>
      <c r="K301" s="1" t="s">
        <v>18</v>
      </c>
    </row>
    <row r="302" spans="1:11" x14ac:dyDescent="0.25">
      <c r="A302" s="1" t="s">
        <v>765</v>
      </c>
      <c r="B302" s="1" t="s">
        <v>766</v>
      </c>
      <c r="C302" s="1" t="s">
        <v>767</v>
      </c>
      <c r="D302" s="1" t="s">
        <v>1731</v>
      </c>
      <c r="E302" s="1" t="s">
        <v>760</v>
      </c>
      <c r="F302" s="1" t="s">
        <v>40</v>
      </c>
      <c r="G302" s="1" t="s">
        <v>40</v>
      </c>
      <c r="H302" s="1"/>
      <c r="I302" s="1"/>
      <c r="J302" s="1" t="s">
        <v>19</v>
      </c>
      <c r="K302" s="1" t="s">
        <v>18</v>
      </c>
    </row>
    <row r="303" spans="1:11" x14ac:dyDescent="0.25">
      <c r="A303" s="1" t="s">
        <v>769</v>
      </c>
      <c r="B303" s="1" t="s">
        <v>770</v>
      </c>
      <c r="C303" s="1" t="s">
        <v>759</v>
      </c>
      <c r="D303" s="1" t="s">
        <v>1555</v>
      </c>
      <c r="E303" s="1" t="s">
        <v>760</v>
      </c>
      <c r="F303" s="1" t="s">
        <v>40</v>
      </c>
      <c r="G303" s="1" t="s">
        <v>40</v>
      </c>
      <c r="H303" s="1"/>
      <c r="I303" s="1"/>
      <c r="J303" s="1" t="s">
        <v>19</v>
      </c>
      <c r="K303" s="1" t="s">
        <v>18</v>
      </c>
    </row>
    <row r="304" spans="1:11" x14ac:dyDescent="0.25">
      <c r="A304" s="1" t="s">
        <v>771</v>
      </c>
      <c r="B304" s="1" t="s">
        <v>772</v>
      </c>
      <c r="C304" s="1" t="s">
        <v>43</v>
      </c>
      <c r="D304" s="1" t="s">
        <v>1732</v>
      </c>
      <c r="E304" s="1" t="s">
        <v>760</v>
      </c>
      <c r="F304" s="1" t="s">
        <v>40</v>
      </c>
      <c r="G304" s="1" t="s">
        <v>40</v>
      </c>
      <c r="H304" s="1"/>
      <c r="I304" s="1"/>
      <c r="J304" s="1" t="s">
        <v>19</v>
      </c>
      <c r="K304" s="1" t="s">
        <v>18</v>
      </c>
    </row>
    <row r="305" spans="1:11" x14ac:dyDescent="0.25">
      <c r="A305" s="1" t="s">
        <v>773</v>
      </c>
      <c r="B305" s="1" t="s">
        <v>774</v>
      </c>
      <c r="C305" s="1" t="s">
        <v>759</v>
      </c>
      <c r="D305" s="1" t="s">
        <v>1733</v>
      </c>
      <c r="E305" s="1" t="s">
        <v>760</v>
      </c>
      <c r="F305" s="1" t="s">
        <v>40</v>
      </c>
      <c r="G305" s="1" t="s">
        <v>40</v>
      </c>
      <c r="H305" s="1"/>
      <c r="I305" s="1"/>
      <c r="J305" s="1" t="s">
        <v>19</v>
      </c>
      <c r="K305" s="1" t="s">
        <v>18</v>
      </c>
    </row>
    <row r="306" spans="1:11" x14ac:dyDescent="0.25">
      <c r="A306" s="1" t="s">
        <v>775</v>
      </c>
      <c r="B306" s="1" t="s">
        <v>776</v>
      </c>
      <c r="C306" s="1" t="s">
        <v>146</v>
      </c>
      <c r="D306" s="1" t="s">
        <v>1734</v>
      </c>
      <c r="E306" s="1" t="s">
        <v>760</v>
      </c>
      <c r="F306" s="1" t="s">
        <v>40</v>
      </c>
      <c r="G306" s="1" t="s">
        <v>40</v>
      </c>
      <c r="H306" s="1"/>
      <c r="I306" s="1"/>
      <c r="J306" s="1" t="s">
        <v>19</v>
      </c>
      <c r="K306" s="1" t="s">
        <v>18</v>
      </c>
    </row>
    <row r="307" spans="1:11" x14ac:dyDescent="0.25">
      <c r="A307" s="1" t="s">
        <v>777</v>
      </c>
      <c r="B307" s="1" t="s">
        <v>778</v>
      </c>
      <c r="C307" s="1" t="s">
        <v>43</v>
      </c>
      <c r="D307" s="1" t="s">
        <v>1735</v>
      </c>
      <c r="E307" s="1" t="s">
        <v>760</v>
      </c>
      <c r="F307" s="1" t="s">
        <v>780</v>
      </c>
      <c r="G307" s="1" t="s">
        <v>780</v>
      </c>
      <c r="H307" s="1"/>
      <c r="I307" s="1" t="s">
        <v>10</v>
      </c>
      <c r="J307" s="1" t="s">
        <v>19</v>
      </c>
      <c r="K307" s="1" t="s">
        <v>18</v>
      </c>
    </row>
    <row r="308" spans="1:11" x14ac:dyDescent="0.25">
      <c r="A308" s="1" t="s">
        <v>781</v>
      </c>
      <c r="B308" s="1" t="s">
        <v>782</v>
      </c>
      <c r="C308" s="1" t="s">
        <v>783</v>
      </c>
      <c r="D308" s="1" t="s">
        <v>1609</v>
      </c>
      <c r="E308" s="1" t="s">
        <v>760</v>
      </c>
      <c r="F308" s="1" t="s">
        <v>40</v>
      </c>
      <c r="G308" s="1" t="s">
        <v>40</v>
      </c>
      <c r="H308" s="1"/>
      <c r="I308" s="1" t="s">
        <v>10</v>
      </c>
      <c r="J308" s="1" t="s">
        <v>19</v>
      </c>
      <c r="K308" s="1" t="s">
        <v>18</v>
      </c>
    </row>
    <row r="309" spans="1:11" x14ac:dyDescent="0.25">
      <c r="A309" s="1" t="s">
        <v>784</v>
      </c>
      <c r="B309" s="1" t="s">
        <v>785</v>
      </c>
      <c r="C309" s="1" t="s">
        <v>817</v>
      </c>
      <c r="D309" s="1" t="s">
        <v>1736</v>
      </c>
      <c r="E309" s="1" t="s">
        <v>760</v>
      </c>
      <c r="F309" s="1" t="s">
        <v>40</v>
      </c>
      <c r="G309" s="1" t="s">
        <v>40</v>
      </c>
      <c r="H309" s="1"/>
      <c r="I309" s="1" t="s">
        <v>10</v>
      </c>
      <c r="J309" s="1" t="s">
        <v>19</v>
      </c>
      <c r="K309" s="1" t="s">
        <v>18</v>
      </c>
    </row>
    <row r="310" spans="1:11" x14ac:dyDescent="0.25">
      <c r="A310" s="1" t="s">
        <v>786</v>
      </c>
      <c r="B310" s="1" t="s">
        <v>787</v>
      </c>
      <c r="C310" s="1" t="s">
        <v>817</v>
      </c>
      <c r="D310" s="1" t="s">
        <v>1737</v>
      </c>
      <c r="E310" s="1" t="s">
        <v>760</v>
      </c>
      <c r="F310" s="1" t="s">
        <v>40</v>
      </c>
      <c r="G310" s="1" t="s">
        <v>40</v>
      </c>
      <c r="H310" s="1"/>
      <c r="I310" s="1" t="s">
        <v>10</v>
      </c>
      <c r="J310" s="1" t="s">
        <v>19</v>
      </c>
      <c r="K310" s="1" t="s">
        <v>18</v>
      </c>
    </row>
    <row r="311" spans="1:11" x14ac:dyDescent="0.25">
      <c r="A311" s="1" t="s">
        <v>788</v>
      </c>
      <c r="B311" s="1" t="s">
        <v>789</v>
      </c>
      <c r="C311" s="1" t="s">
        <v>779</v>
      </c>
      <c r="D311" s="1" t="s">
        <v>1738</v>
      </c>
      <c r="E311" s="1" t="s">
        <v>760</v>
      </c>
      <c r="F311" s="1" t="s">
        <v>780</v>
      </c>
      <c r="G311" s="1" t="s">
        <v>780</v>
      </c>
      <c r="H311" s="1"/>
      <c r="I311" s="1" t="s">
        <v>10</v>
      </c>
      <c r="J311" s="1" t="s">
        <v>19</v>
      </c>
      <c r="K311" s="1" t="s">
        <v>18</v>
      </c>
    </row>
    <row r="312" spans="1:11" x14ac:dyDescent="0.25">
      <c r="A312" s="1" t="s">
        <v>790</v>
      </c>
      <c r="B312" s="1" t="s">
        <v>791</v>
      </c>
      <c r="C312" s="1" t="s">
        <v>779</v>
      </c>
      <c r="D312" s="1" t="s">
        <v>1739</v>
      </c>
      <c r="E312" s="1" t="s">
        <v>760</v>
      </c>
      <c r="F312" s="1" t="s">
        <v>780</v>
      </c>
      <c r="G312" s="1" t="s">
        <v>780</v>
      </c>
      <c r="H312" s="1"/>
      <c r="I312" s="1" t="s">
        <v>10</v>
      </c>
      <c r="J312" s="1" t="s">
        <v>19</v>
      </c>
      <c r="K312" s="1" t="s">
        <v>18</v>
      </c>
    </row>
    <row r="313" spans="1:11" x14ac:dyDescent="0.25">
      <c r="A313" s="1" t="s">
        <v>792</v>
      </c>
      <c r="B313" s="1" t="s">
        <v>793</v>
      </c>
      <c r="C313" s="1" t="s">
        <v>779</v>
      </c>
      <c r="D313" s="1" t="s">
        <v>1740</v>
      </c>
      <c r="E313" s="1" t="s">
        <v>760</v>
      </c>
      <c r="F313" s="1" t="s">
        <v>780</v>
      </c>
      <c r="G313" s="1" t="s">
        <v>780</v>
      </c>
      <c r="H313" s="1"/>
      <c r="I313" s="1" t="s">
        <v>10</v>
      </c>
      <c r="J313" s="1" t="s">
        <v>19</v>
      </c>
      <c r="K313" s="1" t="s">
        <v>18</v>
      </c>
    </row>
    <row r="314" spans="1:11" x14ac:dyDescent="0.25">
      <c r="A314" s="1" t="s">
        <v>794</v>
      </c>
      <c r="B314" s="1" t="s">
        <v>795</v>
      </c>
      <c r="C314" s="1" t="s">
        <v>779</v>
      </c>
      <c r="D314" s="1" t="s">
        <v>1737</v>
      </c>
      <c r="E314" s="1" t="s">
        <v>760</v>
      </c>
      <c r="F314" s="1" t="s">
        <v>780</v>
      </c>
      <c r="G314" s="1" t="s">
        <v>780</v>
      </c>
      <c r="H314" s="1"/>
      <c r="I314" s="1" t="s">
        <v>10</v>
      </c>
      <c r="J314" s="1" t="s">
        <v>19</v>
      </c>
      <c r="K314" s="1" t="s">
        <v>18</v>
      </c>
    </row>
    <row r="315" spans="1:11" x14ac:dyDescent="0.25">
      <c r="A315" s="1" t="s">
        <v>796</v>
      </c>
      <c r="B315" s="1" t="s">
        <v>797</v>
      </c>
      <c r="C315" s="1" t="s">
        <v>779</v>
      </c>
      <c r="D315" s="1" t="s">
        <v>1741</v>
      </c>
      <c r="E315" s="1" t="s">
        <v>760</v>
      </c>
      <c r="F315" s="1" t="s">
        <v>780</v>
      </c>
      <c r="G315" s="1" t="s">
        <v>780</v>
      </c>
      <c r="H315" s="1"/>
      <c r="I315" s="1" t="s">
        <v>10</v>
      </c>
      <c r="J315" s="1" t="s">
        <v>19</v>
      </c>
      <c r="K315" s="1" t="s">
        <v>18</v>
      </c>
    </row>
    <row r="316" spans="1:11" x14ac:dyDescent="0.25">
      <c r="A316" s="1" t="s">
        <v>798</v>
      </c>
      <c r="B316" s="1" t="s">
        <v>799</v>
      </c>
      <c r="C316" s="1" t="s">
        <v>43</v>
      </c>
      <c r="D316" s="1" t="s">
        <v>800</v>
      </c>
      <c r="E316" s="1" t="s">
        <v>760</v>
      </c>
      <c r="F316" s="1" t="s">
        <v>40</v>
      </c>
      <c r="G316" s="1" t="s">
        <v>40</v>
      </c>
      <c r="H316" s="1"/>
      <c r="I316" s="1" t="s">
        <v>10</v>
      </c>
      <c r="J316" s="1" t="s">
        <v>19</v>
      </c>
      <c r="K316" s="1" t="s">
        <v>18</v>
      </c>
    </row>
    <row r="317" spans="1:11" x14ac:dyDescent="0.25">
      <c r="A317" s="1" t="s">
        <v>801</v>
      </c>
      <c r="B317" s="1" t="s">
        <v>802</v>
      </c>
      <c r="C317" s="1" t="s">
        <v>779</v>
      </c>
      <c r="D317" s="1" t="s">
        <v>1740</v>
      </c>
      <c r="E317" s="1" t="s">
        <v>760</v>
      </c>
      <c r="F317" s="1" t="s">
        <v>780</v>
      </c>
      <c r="G317" s="1" t="s">
        <v>780</v>
      </c>
      <c r="H317" s="1"/>
      <c r="I317" s="1" t="s">
        <v>10</v>
      </c>
      <c r="J317" s="1" t="s">
        <v>19</v>
      </c>
      <c r="K317" s="1" t="s">
        <v>18</v>
      </c>
    </row>
    <row r="318" spans="1:11" x14ac:dyDescent="0.25">
      <c r="A318" s="1" t="s">
        <v>803</v>
      </c>
      <c r="B318" s="1" t="s">
        <v>804</v>
      </c>
      <c r="C318" s="1" t="s">
        <v>779</v>
      </c>
      <c r="D318" s="1" t="s">
        <v>1650</v>
      </c>
      <c r="E318" s="1" t="s">
        <v>760</v>
      </c>
      <c r="F318" s="1" t="s">
        <v>780</v>
      </c>
      <c r="G318" s="1" t="s">
        <v>780</v>
      </c>
      <c r="H318" s="1"/>
      <c r="I318" s="1" t="s">
        <v>10</v>
      </c>
      <c r="J318" s="1" t="s">
        <v>19</v>
      </c>
      <c r="K318" s="1" t="s">
        <v>18</v>
      </c>
    </row>
    <row r="319" spans="1:11" x14ac:dyDescent="0.25">
      <c r="A319" s="1" t="s">
        <v>805</v>
      </c>
      <c r="B319" s="1" t="s">
        <v>806</v>
      </c>
      <c r="C319" s="1" t="s">
        <v>12</v>
      </c>
      <c r="D319" s="1" t="s">
        <v>1742</v>
      </c>
      <c r="E319" s="1" t="s">
        <v>760</v>
      </c>
      <c r="F319" s="1" t="s">
        <v>40</v>
      </c>
      <c r="G319" s="1" t="s">
        <v>40</v>
      </c>
      <c r="H319" s="1"/>
      <c r="I319" s="1" t="s">
        <v>10</v>
      </c>
      <c r="J319" s="1" t="s">
        <v>19</v>
      </c>
      <c r="K319" s="1" t="s">
        <v>18</v>
      </c>
    </row>
    <row r="320" spans="1:11" x14ac:dyDescent="0.25">
      <c r="A320" s="1" t="s">
        <v>808</v>
      </c>
      <c r="B320" s="1" t="s">
        <v>809</v>
      </c>
      <c r="C320" s="1" t="s">
        <v>50</v>
      </c>
      <c r="D320" s="1" t="s">
        <v>1636</v>
      </c>
      <c r="E320" s="1" t="s">
        <v>760</v>
      </c>
      <c r="F320" s="1" t="s">
        <v>810</v>
      </c>
      <c r="G320" s="1" t="s">
        <v>810</v>
      </c>
      <c r="H320" s="1"/>
      <c r="I320" s="1" t="s">
        <v>10</v>
      </c>
      <c r="J320" s="1" t="s">
        <v>19</v>
      </c>
      <c r="K320" s="1" t="s">
        <v>18</v>
      </c>
    </row>
    <row r="321" spans="1:11" x14ac:dyDescent="0.25">
      <c r="A321" s="1" t="s">
        <v>811</v>
      </c>
      <c r="B321" s="1" t="s">
        <v>812</v>
      </c>
      <c r="C321" s="1" t="s">
        <v>997</v>
      </c>
      <c r="D321" s="1" t="s">
        <v>1676</v>
      </c>
      <c r="E321" s="1" t="s">
        <v>760</v>
      </c>
      <c r="F321" s="1" t="s">
        <v>810</v>
      </c>
      <c r="G321" s="1" t="s">
        <v>810</v>
      </c>
      <c r="H321" s="1"/>
      <c r="I321" s="1" t="s">
        <v>10</v>
      </c>
      <c r="J321" s="1" t="s">
        <v>19</v>
      </c>
      <c r="K321" s="1" t="s">
        <v>18</v>
      </c>
    </row>
    <row r="322" spans="1:11" x14ac:dyDescent="0.25">
      <c r="A322" s="1" t="s">
        <v>813</v>
      </c>
      <c r="B322" s="1" t="s">
        <v>814</v>
      </c>
      <c r="C322" s="1" t="s">
        <v>9</v>
      </c>
      <c r="D322" s="1" t="s">
        <v>1743</v>
      </c>
      <c r="E322" s="1" t="s">
        <v>760</v>
      </c>
      <c r="F322" s="1" t="s">
        <v>810</v>
      </c>
      <c r="G322" s="1" t="s">
        <v>810</v>
      </c>
      <c r="H322" s="1"/>
      <c r="I322" s="1" t="s">
        <v>10</v>
      </c>
      <c r="J322" s="1" t="s">
        <v>19</v>
      </c>
      <c r="K322" s="1" t="s">
        <v>18</v>
      </c>
    </row>
    <row r="323" spans="1:11" x14ac:dyDescent="0.25">
      <c r="A323" s="1" t="s">
        <v>815</v>
      </c>
      <c r="B323" s="1" t="s">
        <v>816</v>
      </c>
      <c r="C323" s="1" t="s">
        <v>817</v>
      </c>
      <c r="D323" s="1" t="s">
        <v>818</v>
      </c>
      <c r="E323" s="1" t="s">
        <v>760</v>
      </c>
      <c r="F323" s="1" t="s">
        <v>40</v>
      </c>
      <c r="G323" s="1" t="s">
        <v>40</v>
      </c>
      <c r="H323" s="1"/>
      <c r="I323" s="1" t="s">
        <v>10</v>
      </c>
      <c r="J323" s="1" t="s">
        <v>19</v>
      </c>
      <c r="K323" s="1" t="s">
        <v>18</v>
      </c>
    </row>
    <row r="324" spans="1:11" x14ac:dyDescent="0.25">
      <c r="A324" s="1" t="s">
        <v>819</v>
      </c>
      <c r="B324" s="1" t="s">
        <v>820</v>
      </c>
      <c r="C324" s="1" t="s">
        <v>817</v>
      </c>
      <c r="D324" s="1" t="s">
        <v>1744</v>
      </c>
      <c r="E324" s="1" t="s">
        <v>760</v>
      </c>
      <c r="F324" s="1" t="s">
        <v>822</v>
      </c>
      <c r="G324" s="1" t="s">
        <v>822</v>
      </c>
      <c r="H324" s="1"/>
      <c r="I324" s="1" t="s">
        <v>10</v>
      </c>
      <c r="J324" s="1" t="s">
        <v>19</v>
      </c>
      <c r="K324" s="1" t="s">
        <v>18</v>
      </c>
    </row>
    <row r="325" spans="1:11" x14ac:dyDescent="0.25">
      <c r="A325" s="1" t="s">
        <v>823</v>
      </c>
      <c r="B325" s="1" t="s">
        <v>824</v>
      </c>
      <c r="C325" s="1" t="s">
        <v>821</v>
      </c>
      <c r="D325" s="1" t="s">
        <v>1708</v>
      </c>
      <c r="E325" s="1" t="s">
        <v>760</v>
      </c>
      <c r="F325" s="1" t="s">
        <v>822</v>
      </c>
      <c r="G325" s="1" t="s">
        <v>822</v>
      </c>
      <c r="H325" s="1"/>
      <c r="I325" s="1" t="s">
        <v>10</v>
      </c>
      <c r="J325" s="1" t="s">
        <v>19</v>
      </c>
      <c r="K325" s="1" t="s">
        <v>18</v>
      </c>
    </row>
    <row r="326" spans="1:11" x14ac:dyDescent="0.25">
      <c r="A326" s="1" t="s">
        <v>825</v>
      </c>
      <c r="B326" s="1" t="s">
        <v>826</v>
      </c>
      <c r="C326" s="1" t="s">
        <v>821</v>
      </c>
      <c r="D326" s="1" t="s">
        <v>1745</v>
      </c>
      <c r="E326" s="1" t="s">
        <v>760</v>
      </c>
      <c r="F326" s="1" t="s">
        <v>822</v>
      </c>
      <c r="G326" s="1" t="s">
        <v>822</v>
      </c>
      <c r="H326" s="1"/>
      <c r="I326" s="1" t="s">
        <v>10</v>
      </c>
      <c r="J326" s="1" t="s">
        <v>19</v>
      </c>
      <c r="K326" s="1" t="s">
        <v>18</v>
      </c>
    </row>
    <row r="327" spans="1:11" x14ac:dyDescent="0.25">
      <c r="A327" s="1" t="s">
        <v>827</v>
      </c>
      <c r="B327" s="1" t="s">
        <v>828</v>
      </c>
      <c r="C327" s="1" t="s">
        <v>821</v>
      </c>
      <c r="D327" s="1" t="s">
        <v>829</v>
      </c>
      <c r="E327" s="1" t="s">
        <v>760</v>
      </c>
      <c r="F327" s="1" t="s">
        <v>822</v>
      </c>
      <c r="G327" s="1" t="s">
        <v>822</v>
      </c>
      <c r="H327" s="1"/>
      <c r="I327" s="1" t="s">
        <v>10</v>
      </c>
      <c r="J327" s="1" t="s">
        <v>19</v>
      </c>
      <c r="K327" s="1" t="s">
        <v>18</v>
      </c>
    </row>
    <row r="328" spans="1:11" x14ac:dyDescent="0.25">
      <c r="A328" s="1" t="s">
        <v>830</v>
      </c>
      <c r="B328" s="1" t="s">
        <v>831</v>
      </c>
      <c r="C328" s="1" t="s">
        <v>821</v>
      </c>
      <c r="D328" s="1" t="s">
        <v>1746</v>
      </c>
      <c r="E328" s="1" t="s">
        <v>760</v>
      </c>
      <c r="F328" s="1" t="s">
        <v>822</v>
      </c>
      <c r="G328" s="1" t="s">
        <v>822</v>
      </c>
      <c r="H328" s="1"/>
      <c r="I328" s="1" t="s">
        <v>10</v>
      </c>
      <c r="J328" s="1" t="s">
        <v>19</v>
      </c>
      <c r="K328" s="1" t="s">
        <v>18</v>
      </c>
    </row>
    <row r="329" spans="1:11" x14ac:dyDescent="0.25">
      <c r="A329" s="1" t="s">
        <v>832</v>
      </c>
      <c r="B329" s="1" t="s">
        <v>833</v>
      </c>
      <c r="C329" s="1" t="s">
        <v>821</v>
      </c>
      <c r="D329" s="1" t="s">
        <v>1628</v>
      </c>
      <c r="E329" s="1" t="s">
        <v>760</v>
      </c>
      <c r="F329" s="1" t="s">
        <v>822</v>
      </c>
      <c r="G329" s="1" t="s">
        <v>822</v>
      </c>
      <c r="H329" s="1"/>
      <c r="I329" s="1" t="s">
        <v>10</v>
      </c>
      <c r="J329" s="1" t="s">
        <v>19</v>
      </c>
      <c r="K329" s="1" t="s">
        <v>18</v>
      </c>
    </row>
    <row r="330" spans="1:11" x14ac:dyDescent="0.25">
      <c r="A330" s="1" t="s">
        <v>834</v>
      </c>
      <c r="B330" s="1" t="s">
        <v>835</v>
      </c>
      <c r="C330" s="1" t="s">
        <v>43</v>
      </c>
      <c r="D330" s="1" t="s">
        <v>1747</v>
      </c>
      <c r="E330" s="1" t="s">
        <v>760</v>
      </c>
      <c r="F330" s="1" t="s">
        <v>40</v>
      </c>
      <c r="G330" s="1" t="s">
        <v>40</v>
      </c>
      <c r="H330" s="1"/>
      <c r="I330" s="1" t="s">
        <v>10</v>
      </c>
      <c r="J330" s="1" t="s">
        <v>19</v>
      </c>
      <c r="K330" s="1" t="s">
        <v>18</v>
      </c>
    </row>
    <row r="331" spans="1:11" x14ac:dyDescent="0.25">
      <c r="A331" s="1" t="s">
        <v>836</v>
      </c>
      <c r="B331" s="1" t="s">
        <v>837</v>
      </c>
      <c r="C331" s="1" t="s">
        <v>779</v>
      </c>
      <c r="D331" s="1" t="s">
        <v>1748</v>
      </c>
      <c r="E331" s="1" t="s">
        <v>760</v>
      </c>
      <c r="F331" s="1" t="s">
        <v>40</v>
      </c>
      <c r="G331" s="1" t="s">
        <v>40</v>
      </c>
      <c r="H331" s="1"/>
      <c r="I331" s="1" t="s">
        <v>10</v>
      </c>
      <c r="J331" s="1" t="s">
        <v>19</v>
      </c>
      <c r="K331" s="1" t="s">
        <v>18</v>
      </c>
    </row>
    <row r="332" spans="1:11" x14ac:dyDescent="0.25">
      <c r="A332" s="1" t="s">
        <v>838</v>
      </c>
      <c r="B332" s="1" t="s">
        <v>839</v>
      </c>
      <c r="C332" s="1" t="s">
        <v>779</v>
      </c>
      <c r="D332" s="1" t="s">
        <v>1749</v>
      </c>
      <c r="E332" s="1" t="s">
        <v>760</v>
      </c>
      <c r="F332" s="1" t="s">
        <v>841</v>
      </c>
      <c r="G332" s="1" t="s">
        <v>841</v>
      </c>
      <c r="H332" s="1"/>
      <c r="I332" s="1" t="s">
        <v>10</v>
      </c>
      <c r="J332" s="1" t="s">
        <v>19</v>
      </c>
      <c r="K332" s="1" t="s">
        <v>18</v>
      </c>
    </row>
    <row r="333" spans="1:11" x14ac:dyDescent="0.25">
      <c r="A333" s="1" t="s">
        <v>842</v>
      </c>
      <c r="B333" s="1" t="s">
        <v>843</v>
      </c>
      <c r="C333" s="1" t="s">
        <v>840</v>
      </c>
      <c r="D333" s="1" t="s">
        <v>1589</v>
      </c>
      <c r="E333" s="1" t="s">
        <v>760</v>
      </c>
      <c r="F333" s="1" t="s">
        <v>841</v>
      </c>
      <c r="G333" s="1" t="s">
        <v>841</v>
      </c>
      <c r="H333" s="1"/>
      <c r="I333" s="1" t="s">
        <v>10</v>
      </c>
      <c r="J333" s="1" t="s">
        <v>19</v>
      </c>
      <c r="K333" s="1" t="s">
        <v>18</v>
      </c>
    </row>
    <row r="334" spans="1:11" x14ac:dyDescent="0.25">
      <c r="A334" s="1" t="s">
        <v>844</v>
      </c>
      <c r="B334" s="1" t="s">
        <v>845</v>
      </c>
      <c r="C334" s="1" t="s">
        <v>840</v>
      </c>
      <c r="D334" s="1" t="s">
        <v>1750</v>
      </c>
      <c r="E334" s="1" t="s">
        <v>760</v>
      </c>
      <c r="F334" s="1" t="s">
        <v>841</v>
      </c>
      <c r="G334" s="1" t="s">
        <v>841</v>
      </c>
      <c r="H334" s="1"/>
      <c r="I334" s="1" t="s">
        <v>10</v>
      </c>
      <c r="J334" s="1" t="s">
        <v>19</v>
      </c>
      <c r="K334" s="1" t="s">
        <v>18</v>
      </c>
    </row>
    <row r="335" spans="1:11" x14ac:dyDescent="0.25">
      <c r="A335" s="1" t="s">
        <v>846</v>
      </c>
      <c r="B335" s="1" t="s">
        <v>847</v>
      </c>
      <c r="C335" s="1" t="s">
        <v>752</v>
      </c>
      <c r="D335" s="1" t="s">
        <v>1751</v>
      </c>
      <c r="E335" s="1" t="s">
        <v>35</v>
      </c>
      <c r="F335" s="1" t="s">
        <v>40</v>
      </c>
      <c r="G335" s="1" t="s">
        <v>40</v>
      </c>
      <c r="H335" s="1"/>
      <c r="I335" s="1"/>
      <c r="J335" s="1" t="s">
        <v>19</v>
      </c>
      <c r="K335" s="1" t="s">
        <v>18</v>
      </c>
    </row>
    <row r="336" spans="1:11" x14ac:dyDescent="0.25">
      <c r="A336" s="1" t="s">
        <v>848</v>
      </c>
      <c r="B336" s="1" t="s">
        <v>849</v>
      </c>
      <c r="C336" s="1" t="s">
        <v>850</v>
      </c>
      <c r="D336" s="1" t="s">
        <v>851</v>
      </c>
      <c r="E336" s="1" t="s">
        <v>36</v>
      </c>
      <c r="F336" s="1" t="s">
        <v>40</v>
      </c>
      <c r="G336" s="1" t="s">
        <v>40</v>
      </c>
      <c r="H336" s="1"/>
      <c r="I336" s="1"/>
      <c r="J336" s="1" t="s">
        <v>19</v>
      </c>
      <c r="K336" s="1" t="s">
        <v>18</v>
      </c>
    </row>
    <row r="337" spans="1:11" x14ac:dyDescent="0.25">
      <c r="A337" s="1" t="s">
        <v>852</v>
      </c>
      <c r="B337" s="1" t="s">
        <v>853</v>
      </c>
      <c r="C337" s="1" t="s">
        <v>854</v>
      </c>
      <c r="D337" s="1" t="s">
        <v>855</v>
      </c>
      <c r="E337" s="1" t="s">
        <v>36</v>
      </c>
      <c r="F337" s="1" t="s">
        <v>40</v>
      </c>
      <c r="G337" s="1" t="s">
        <v>40</v>
      </c>
      <c r="H337" s="1"/>
      <c r="I337" s="1"/>
      <c r="J337" s="1" t="s">
        <v>19</v>
      </c>
      <c r="K337" s="1" t="s">
        <v>18</v>
      </c>
    </row>
    <row r="338" spans="1:11" x14ac:dyDescent="0.25">
      <c r="A338" s="1" t="s">
        <v>856</v>
      </c>
      <c r="B338" s="1" t="s">
        <v>857</v>
      </c>
      <c r="C338" s="1" t="s">
        <v>865</v>
      </c>
      <c r="D338" s="1" t="s">
        <v>1752</v>
      </c>
      <c r="E338" s="1" t="s">
        <v>36</v>
      </c>
      <c r="F338" s="1" t="s">
        <v>858</v>
      </c>
      <c r="G338" s="1" t="s">
        <v>858</v>
      </c>
      <c r="H338" s="1"/>
      <c r="I338" s="1"/>
      <c r="J338" s="1" t="s">
        <v>19</v>
      </c>
      <c r="K338" s="1" t="s">
        <v>18</v>
      </c>
    </row>
    <row r="339" spans="1:11" x14ac:dyDescent="0.25">
      <c r="A339" s="1" t="s">
        <v>859</v>
      </c>
      <c r="B339" s="1" t="s">
        <v>860</v>
      </c>
      <c r="C339" s="1" t="s">
        <v>881</v>
      </c>
      <c r="D339" s="1" t="s">
        <v>1753</v>
      </c>
      <c r="E339" s="1" t="s">
        <v>36</v>
      </c>
      <c r="F339" s="1" t="s">
        <v>858</v>
      </c>
      <c r="G339" s="1" t="s">
        <v>858</v>
      </c>
      <c r="H339" s="1"/>
      <c r="I339" s="1"/>
      <c r="J339" s="1" t="s">
        <v>19</v>
      </c>
      <c r="K339" s="1" t="s">
        <v>18</v>
      </c>
    </row>
    <row r="340" spans="1:11" x14ac:dyDescent="0.25">
      <c r="A340" s="1" t="s">
        <v>861</v>
      </c>
      <c r="B340" s="1" t="s">
        <v>862</v>
      </c>
      <c r="C340" s="1" t="s">
        <v>881</v>
      </c>
      <c r="D340" s="1" t="s">
        <v>1754</v>
      </c>
      <c r="E340" s="1" t="s">
        <v>36</v>
      </c>
      <c r="F340" s="1" t="s">
        <v>858</v>
      </c>
      <c r="G340" s="1" t="s">
        <v>858</v>
      </c>
      <c r="H340" s="1"/>
      <c r="I340" s="1"/>
      <c r="J340" s="1" t="s">
        <v>19</v>
      </c>
      <c r="K340" s="1" t="s">
        <v>18</v>
      </c>
    </row>
    <row r="341" spans="1:11" x14ac:dyDescent="0.25">
      <c r="A341" s="1" t="s">
        <v>863</v>
      </c>
      <c r="B341" s="1" t="s">
        <v>864</v>
      </c>
      <c r="C341" s="1" t="s">
        <v>850</v>
      </c>
      <c r="D341" s="1" t="s">
        <v>1755</v>
      </c>
      <c r="E341" s="1" t="s">
        <v>36</v>
      </c>
      <c r="F341" s="1" t="s">
        <v>858</v>
      </c>
      <c r="G341" s="1" t="s">
        <v>858</v>
      </c>
      <c r="H341" s="1"/>
      <c r="I341" s="1"/>
      <c r="J341" s="1" t="s">
        <v>19</v>
      </c>
      <c r="K341" s="1" t="s">
        <v>18</v>
      </c>
    </row>
    <row r="342" spans="1:11" x14ac:dyDescent="0.25">
      <c r="A342" s="1" t="s">
        <v>866</v>
      </c>
      <c r="B342" s="1" t="s">
        <v>867</v>
      </c>
      <c r="C342" s="1" t="s">
        <v>850</v>
      </c>
      <c r="D342" s="1" t="s">
        <v>1756</v>
      </c>
      <c r="E342" s="1" t="s">
        <v>36</v>
      </c>
      <c r="F342" s="1" t="s">
        <v>40</v>
      </c>
      <c r="G342" s="1" t="s">
        <v>40</v>
      </c>
      <c r="H342" s="1"/>
      <c r="I342" s="1"/>
      <c r="J342" s="1" t="s">
        <v>19</v>
      </c>
      <c r="K342" s="1" t="s">
        <v>18</v>
      </c>
    </row>
    <row r="343" spans="1:11" x14ac:dyDescent="0.25">
      <c r="A343" s="1" t="s">
        <v>868</v>
      </c>
      <c r="B343" s="1" t="s">
        <v>869</v>
      </c>
      <c r="C343" s="1" t="s">
        <v>850</v>
      </c>
      <c r="D343" s="1" t="s">
        <v>1757</v>
      </c>
      <c r="E343" s="1" t="s">
        <v>36</v>
      </c>
      <c r="F343" s="1" t="s">
        <v>40</v>
      </c>
      <c r="G343" s="1" t="s">
        <v>40</v>
      </c>
      <c r="H343" s="1"/>
      <c r="I343" s="1"/>
      <c r="J343" s="1" t="s">
        <v>19</v>
      </c>
      <c r="K343" s="1" t="s">
        <v>18</v>
      </c>
    </row>
    <row r="344" spans="1:11" x14ac:dyDescent="0.25">
      <c r="A344" s="1" t="s">
        <v>870</v>
      </c>
      <c r="B344" s="1" t="s">
        <v>871</v>
      </c>
      <c r="C344" s="1" t="s">
        <v>850</v>
      </c>
      <c r="D344" s="1" t="s">
        <v>1758</v>
      </c>
      <c r="E344" s="1" t="s">
        <v>36</v>
      </c>
      <c r="F344" s="1" t="s">
        <v>40</v>
      </c>
      <c r="G344" s="1" t="s">
        <v>40</v>
      </c>
      <c r="H344" s="1"/>
      <c r="I344" s="1"/>
      <c r="J344" s="1" t="s">
        <v>19</v>
      </c>
      <c r="K344" s="1" t="s">
        <v>18</v>
      </c>
    </row>
    <row r="345" spans="1:11" x14ac:dyDescent="0.25">
      <c r="A345" s="1" t="s">
        <v>872</v>
      </c>
      <c r="B345" s="1" t="s">
        <v>873</v>
      </c>
      <c r="C345" s="1" t="s">
        <v>43</v>
      </c>
      <c r="D345" s="1" t="s">
        <v>1759</v>
      </c>
      <c r="E345" s="1" t="s">
        <v>36</v>
      </c>
      <c r="F345" s="1" t="s">
        <v>40</v>
      </c>
      <c r="G345" s="1" t="s">
        <v>40</v>
      </c>
      <c r="H345" s="1"/>
      <c r="I345" s="1"/>
      <c r="J345" s="1" t="s">
        <v>19</v>
      </c>
      <c r="K345" s="1" t="s">
        <v>18</v>
      </c>
    </row>
    <row r="346" spans="1:11" x14ac:dyDescent="0.25">
      <c r="A346" s="1" t="s">
        <v>874</v>
      </c>
      <c r="B346" s="1" t="s">
        <v>875</v>
      </c>
      <c r="C346" s="1" t="s">
        <v>821</v>
      </c>
      <c r="D346" s="1" t="s">
        <v>876</v>
      </c>
      <c r="E346" s="1" t="s">
        <v>36</v>
      </c>
      <c r="F346" s="1" t="s">
        <v>40</v>
      </c>
      <c r="G346" s="1" t="s">
        <v>40</v>
      </c>
      <c r="H346" s="1"/>
      <c r="I346" s="1"/>
      <c r="J346" s="1" t="s">
        <v>19</v>
      </c>
      <c r="K346" s="1" t="s">
        <v>18</v>
      </c>
    </row>
    <row r="347" spans="1:11" x14ac:dyDescent="0.25">
      <c r="A347" s="1" t="s">
        <v>877</v>
      </c>
      <c r="B347" s="1" t="s">
        <v>878</v>
      </c>
      <c r="C347" s="1" t="s">
        <v>850</v>
      </c>
      <c r="D347" s="1" t="s">
        <v>1726</v>
      </c>
      <c r="E347" s="1" t="s">
        <v>36</v>
      </c>
      <c r="F347" s="1" t="s">
        <v>40</v>
      </c>
      <c r="G347" s="1" t="s">
        <v>40</v>
      </c>
      <c r="H347" s="1"/>
      <c r="I347" s="1"/>
      <c r="J347" s="1" t="s">
        <v>19</v>
      </c>
      <c r="K347" s="1" t="s">
        <v>18</v>
      </c>
    </row>
    <row r="348" spans="1:11" x14ac:dyDescent="0.25">
      <c r="A348" s="1" t="s">
        <v>879</v>
      </c>
      <c r="B348" s="1" t="s">
        <v>880</v>
      </c>
      <c r="C348" s="1" t="s">
        <v>865</v>
      </c>
      <c r="D348" s="1" t="s">
        <v>1760</v>
      </c>
      <c r="E348" s="1" t="s">
        <v>36</v>
      </c>
      <c r="F348" s="1" t="s">
        <v>40</v>
      </c>
      <c r="G348" s="1" t="s">
        <v>40</v>
      </c>
      <c r="H348" s="1"/>
      <c r="I348" s="1"/>
      <c r="J348" s="1" t="s">
        <v>19</v>
      </c>
      <c r="K348" s="1" t="s">
        <v>18</v>
      </c>
    </row>
    <row r="349" spans="1:11" x14ac:dyDescent="0.25">
      <c r="A349" s="1" t="s">
        <v>882</v>
      </c>
      <c r="B349" s="1" t="s">
        <v>883</v>
      </c>
      <c r="C349" s="1" t="s">
        <v>865</v>
      </c>
      <c r="D349" s="1" t="s">
        <v>1761</v>
      </c>
      <c r="E349" s="1" t="s">
        <v>36</v>
      </c>
      <c r="F349" s="1" t="s">
        <v>40</v>
      </c>
      <c r="G349" s="1" t="s">
        <v>40</v>
      </c>
      <c r="H349" s="1"/>
      <c r="I349" s="1"/>
      <c r="J349" s="1" t="s">
        <v>19</v>
      </c>
      <c r="K349" s="1" t="s">
        <v>18</v>
      </c>
    </row>
    <row r="350" spans="1:11" x14ac:dyDescent="0.25">
      <c r="A350" s="1" t="s">
        <v>884</v>
      </c>
      <c r="B350" s="1" t="s">
        <v>885</v>
      </c>
      <c r="C350" s="1" t="s">
        <v>905</v>
      </c>
      <c r="D350" s="1" t="s">
        <v>1762</v>
      </c>
      <c r="E350" s="1" t="s">
        <v>36</v>
      </c>
      <c r="F350" s="1" t="s">
        <v>40</v>
      </c>
      <c r="G350" s="1" t="s">
        <v>40</v>
      </c>
      <c r="H350" s="1"/>
      <c r="I350" s="1"/>
      <c r="J350" s="1" t="s">
        <v>19</v>
      </c>
      <c r="K350" s="1" t="s">
        <v>18</v>
      </c>
    </row>
    <row r="351" spans="1:11" x14ac:dyDescent="0.25">
      <c r="A351" s="1" t="s">
        <v>887</v>
      </c>
      <c r="B351" s="1" t="s">
        <v>888</v>
      </c>
      <c r="C351" s="1" t="s">
        <v>886</v>
      </c>
      <c r="D351" s="1" t="s">
        <v>1763</v>
      </c>
      <c r="E351" s="1" t="s">
        <v>36</v>
      </c>
      <c r="F351" s="1" t="s">
        <v>40</v>
      </c>
      <c r="G351" s="1" t="s">
        <v>40</v>
      </c>
      <c r="H351" s="1"/>
      <c r="I351" s="1"/>
      <c r="J351" s="1" t="s">
        <v>19</v>
      </c>
      <c r="K351" s="1" t="s">
        <v>18</v>
      </c>
    </row>
    <row r="352" spans="1:11" x14ac:dyDescent="0.25">
      <c r="A352" s="1" t="s">
        <v>889</v>
      </c>
      <c r="B352" s="1" t="s">
        <v>890</v>
      </c>
      <c r="C352" s="1" t="s">
        <v>886</v>
      </c>
      <c r="D352" s="1" t="s">
        <v>1764</v>
      </c>
      <c r="E352" s="1" t="s">
        <v>36</v>
      </c>
      <c r="F352" s="1" t="s">
        <v>40</v>
      </c>
      <c r="G352" s="1" t="s">
        <v>40</v>
      </c>
      <c r="H352" s="1"/>
      <c r="I352" s="1"/>
      <c r="J352" s="1" t="s">
        <v>19</v>
      </c>
      <c r="K352" s="1" t="s">
        <v>18</v>
      </c>
    </row>
    <row r="353" spans="1:11" x14ac:dyDescent="0.25">
      <c r="A353" s="1" t="s">
        <v>891</v>
      </c>
      <c r="B353" s="1" t="s">
        <v>892</v>
      </c>
      <c r="C353" s="1" t="s">
        <v>886</v>
      </c>
      <c r="D353" s="1" t="s">
        <v>1765</v>
      </c>
      <c r="E353" s="1" t="s">
        <v>36</v>
      </c>
      <c r="F353" s="1" t="s">
        <v>40</v>
      </c>
      <c r="G353" s="1" t="s">
        <v>40</v>
      </c>
      <c r="H353" s="1"/>
      <c r="I353" s="1"/>
      <c r="J353" s="1" t="s">
        <v>19</v>
      </c>
      <c r="K353" s="1" t="s">
        <v>18</v>
      </c>
    </row>
    <row r="354" spans="1:11" x14ac:dyDescent="0.25">
      <c r="A354" s="1" t="s">
        <v>893</v>
      </c>
      <c r="B354" s="1" t="s">
        <v>894</v>
      </c>
      <c r="C354" s="1" t="s">
        <v>247</v>
      </c>
      <c r="D354" s="1" t="s">
        <v>1766</v>
      </c>
      <c r="E354" s="1" t="s">
        <v>36</v>
      </c>
      <c r="F354" s="1" t="s">
        <v>40</v>
      </c>
      <c r="G354" s="1" t="s">
        <v>40</v>
      </c>
      <c r="H354" s="1"/>
      <c r="I354" s="1"/>
      <c r="J354" s="1" t="s">
        <v>19</v>
      </c>
      <c r="K354" s="1" t="s">
        <v>18</v>
      </c>
    </row>
    <row r="355" spans="1:11" x14ac:dyDescent="0.25">
      <c r="A355" s="1" t="s">
        <v>895</v>
      </c>
      <c r="B355" s="1" t="s">
        <v>896</v>
      </c>
      <c r="C355" s="1" t="s">
        <v>886</v>
      </c>
      <c r="D355" s="1" t="s">
        <v>1528</v>
      </c>
      <c r="E355" s="1" t="s">
        <v>36</v>
      </c>
      <c r="F355" s="1" t="s">
        <v>40</v>
      </c>
      <c r="G355" s="1" t="s">
        <v>40</v>
      </c>
      <c r="H355" s="1"/>
      <c r="I355" s="1"/>
      <c r="J355" s="1" t="s">
        <v>19</v>
      </c>
      <c r="K355" s="1" t="s">
        <v>18</v>
      </c>
    </row>
    <row r="356" spans="1:11" x14ac:dyDescent="0.25">
      <c r="A356" s="1" t="s">
        <v>897</v>
      </c>
      <c r="B356" s="1" t="s">
        <v>898</v>
      </c>
      <c r="C356" s="1" t="s">
        <v>886</v>
      </c>
      <c r="D356" s="1" t="s">
        <v>899</v>
      </c>
      <c r="E356" s="1" t="s">
        <v>36</v>
      </c>
      <c r="F356" s="1" t="s">
        <v>40</v>
      </c>
      <c r="G356" s="1" t="s">
        <v>40</v>
      </c>
      <c r="H356" s="1"/>
      <c r="I356" s="1"/>
      <c r="J356" s="1" t="s">
        <v>19</v>
      </c>
      <c r="K356" s="1" t="s">
        <v>18</v>
      </c>
    </row>
    <row r="357" spans="1:11" x14ac:dyDescent="0.25">
      <c r="A357" s="1" t="s">
        <v>900</v>
      </c>
      <c r="B357" s="1" t="s">
        <v>901</v>
      </c>
      <c r="C357" s="1" t="s">
        <v>886</v>
      </c>
      <c r="D357" s="1" t="s">
        <v>902</v>
      </c>
      <c r="E357" s="1" t="s">
        <v>36</v>
      </c>
      <c r="F357" s="1" t="s">
        <v>40</v>
      </c>
      <c r="G357" s="1" t="s">
        <v>40</v>
      </c>
      <c r="H357" s="1"/>
      <c r="I357" s="1"/>
      <c r="J357" s="1" t="s">
        <v>19</v>
      </c>
      <c r="K357" s="1" t="s">
        <v>18</v>
      </c>
    </row>
    <row r="358" spans="1:11" x14ac:dyDescent="0.25">
      <c r="A358" s="1" t="s">
        <v>903</v>
      </c>
      <c r="B358" s="1" t="s">
        <v>904</v>
      </c>
      <c r="C358" s="1" t="s">
        <v>886</v>
      </c>
      <c r="D358" s="1" t="s">
        <v>1745</v>
      </c>
      <c r="E358" s="1" t="s">
        <v>36</v>
      </c>
      <c r="F358" s="1" t="s">
        <v>40</v>
      </c>
      <c r="G358" s="1" t="s">
        <v>40</v>
      </c>
      <c r="H358" s="1"/>
      <c r="I358" s="1"/>
      <c r="J358" s="1" t="s">
        <v>19</v>
      </c>
      <c r="K358" s="1" t="s">
        <v>18</v>
      </c>
    </row>
    <row r="359" spans="1:11" x14ac:dyDescent="0.25">
      <c r="A359" s="1" t="s">
        <v>906</v>
      </c>
      <c r="B359" s="1" t="s">
        <v>907</v>
      </c>
      <c r="C359" s="1" t="s">
        <v>886</v>
      </c>
      <c r="D359" s="1" t="s">
        <v>1767</v>
      </c>
      <c r="E359" s="1" t="s">
        <v>36</v>
      </c>
      <c r="F359" s="1" t="s">
        <v>40</v>
      </c>
      <c r="G359" s="1" t="s">
        <v>40</v>
      </c>
      <c r="H359" s="1"/>
      <c r="I359" s="1"/>
      <c r="J359" s="1" t="s">
        <v>19</v>
      </c>
      <c r="K359" s="1" t="s">
        <v>18</v>
      </c>
    </row>
    <row r="360" spans="1:11" x14ac:dyDescent="0.25">
      <c r="A360" s="1" t="s">
        <v>908</v>
      </c>
      <c r="B360" s="1" t="s">
        <v>909</v>
      </c>
      <c r="C360" s="1" t="s">
        <v>247</v>
      </c>
      <c r="D360" s="1" t="s">
        <v>1768</v>
      </c>
      <c r="E360" s="1" t="s">
        <v>36</v>
      </c>
      <c r="F360" s="1" t="s">
        <v>40</v>
      </c>
      <c r="G360" s="1" t="s">
        <v>40</v>
      </c>
      <c r="H360" s="1"/>
      <c r="I360" s="1"/>
      <c r="J360" s="1" t="s">
        <v>19</v>
      </c>
      <c r="K360" s="1" t="s">
        <v>18</v>
      </c>
    </row>
    <row r="361" spans="1:11" x14ac:dyDescent="0.25">
      <c r="A361" s="1" t="s">
        <v>910</v>
      </c>
      <c r="B361" s="1" t="s">
        <v>911</v>
      </c>
      <c r="C361" s="1" t="s">
        <v>912</v>
      </c>
      <c r="D361" s="1" t="s">
        <v>1769</v>
      </c>
      <c r="E361" s="1" t="s">
        <v>913</v>
      </c>
      <c r="F361" s="1" t="s">
        <v>914</v>
      </c>
      <c r="G361" s="1" t="s">
        <v>914</v>
      </c>
      <c r="H361" s="1"/>
      <c r="I361" s="1" t="s">
        <v>10</v>
      </c>
      <c r="J361" s="1" t="s">
        <v>19</v>
      </c>
      <c r="K361" s="1" t="s">
        <v>18</v>
      </c>
    </row>
    <row r="362" spans="1:11" x14ac:dyDescent="0.25">
      <c r="A362" s="1" t="s">
        <v>915</v>
      </c>
      <c r="B362" s="1" t="s">
        <v>916</v>
      </c>
      <c r="C362" s="1" t="s">
        <v>912</v>
      </c>
      <c r="D362" s="1" t="s">
        <v>1770</v>
      </c>
      <c r="E362" s="1" t="s">
        <v>913</v>
      </c>
      <c r="F362" s="1" t="s">
        <v>914</v>
      </c>
      <c r="G362" s="1" t="s">
        <v>914</v>
      </c>
      <c r="H362" s="1"/>
      <c r="I362" s="1" t="s">
        <v>10</v>
      </c>
      <c r="J362" s="1" t="s">
        <v>19</v>
      </c>
      <c r="K362" s="1" t="s">
        <v>18</v>
      </c>
    </row>
    <row r="363" spans="1:11" x14ac:dyDescent="0.25">
      <c r="A363" s="1" t="s">
        <v>917</v>
      </c>
      <c r="B363" s="1" t="s">
        <v>918</v>
      </c>
      <c r="C363" s="1" t="s">
        <v>854</v>
      </c>
      <c r="D363" s="1" t="s">
        <v>919</v>
      </c>
      <c r="E363" s="1" t="s">
        <v>920</v>
      </c>
      <c r="F363" s="1" t="s">
        <v>40</v>
      </c>
      <c r="G363" s="1" t="s">
        <v>40</v>
      </c>
      <c r="H363" s="1"/>
      <c r="I363" s="1"/>
      <c r="J363" s="1" t="s">
        <v>19</v>
      </c>
      <c r="K363" s="1" t="s">
        <v>18</v>
      </c>
    </row>
    <row r="364" spans="1:11" x14ac:dyDescent="0.25">
      <c r="A364" s="1" t="s">
        <v>921</v>
      </c>
      <c r="B364" s="1" t="s">
        <v>922</v>
      </c>
      <c r="C364" s="1" t="s">
        <v>923</v>
      </c>
      <c r="D364" s="1" t="s">
        <v>1771</v>
      </c>
      <c r="E364" s="1" t="s">
        <v>38</v>
      </c>
      <c r="F364" s="1" t="s">
        <v>924</v>
      </c>
      <c r="G364" s="1" t="s">
        <v>924</v>
      </c>
      <c r="H364" s="1"/>
      <c r="I364" s="1"/>
      <c r="J364" s="1" t="s">
        <v>19</v>
      </c>
      <c r="K364" s="1" t="s">
        <v>18</v>
      </c>
    </row>
    <row r="365" spans="1:11" x14ac:dyDescent="0.25">
      <c r="A365" s="1" t="s">
        <v>925</v>
      </c>
      <c r="B365" s="1" t="s">
        <v>926</v>
      </c>
      <c r="C365" s="1" t="s">
        <v>927</v>
      </c>
      <c r="D365" s="1" t="s">
        <v>1772</v>
      </c>
      <c r="E365" s="1" t="s">
        <v>38</v>
      </c>
      <c r="F365" s="1" t="s">
        <v>924</v>
      </c>
      <c r="G365" s="1" t="s">
        <v>924</v>
      </c>
      <c r="H365" s="1"/>
      <c r="I365" s="1"/>
      <c r="J365" s="1" t="s">
        <v>19</v>
      </c>
      <c r="K365" s="1" t="s">
        <v>18</v>
      </c>
    </row>
    <row r="366" spans="1:11" x14ac:dyDescent="0.25">
      <c r="A366" s="1" t="s">
        <v>928</v>
      </c>
      <c r="B366" s="1" t="s">
        <v>929</v>
      </c>
      <c r="C366" s="1" t="s">
        <v>745</v>
      </c>
      <c r="D366" s="1" t="s">
        <v>1773</v>
      </c>
      <c r="E366" s="1" t="s">
        <v>38</v>
      </c>
      <c r="F366" s="1" t="s">
        <v>924</v>
      </c>
      <c r="G366" s="1" t="s">
        <v>924</v>
      </c>
      <c r="H366" s="1"/>
      <c r="I366" s="1"/>
      <c r="J366" s="1" t="s">
        <v>19</v>
      </c>
      <c r="K366" s="1" t="s">
        <v>18</v>
      </c>
    </row>
    <row r="367" spans="1:11" x14ac:dyDescent="0.25">
      <c r="A367" s="1" t="s">
        <v>930</v>
      </c>
      <c r="B367" s="1" t="s">
        <v>931</v>
      </c>
      <c r="C367" s="1" t="s">
        <v>932</v>
      </c>
      <c r="D367" s="1" t="s">
        <v>933</v>
      </c>
      <c r="E367" s="1" t="s">
        <v>38</v>
      </c>
      <c r="F367" s="1" t="s">
        <v>924</v>
      </c>
      <c r="G367" s="1" t="s">
        <v>924</v>
      </c>
      <c r="H367" s="1"/>
      <c r="I367" s="1"/>
      <c r="J367" s="1" t="s">
        <v>19</v>
      </c>
      <c r="K367" s="1" t="s">
        <v>18</v>
      </c>
    </row>
    <row r="368" spans="1:11" x14ac:dyDescent="0.25">
      <c r="A368" s="1" t="s">
        <v>934</v>
      </c>
      <c r="B368" s="1" t="s">
        <v>935</v>
      </c>
      <c r="C368" s="1" t="s">
        <v>936</v>
      </c>
      <c r="D368" s="1" t="s">
        <v>1620</v>
      </c>
      <c r="E368" s="1" t="s">
        <v>38</v>
      </c>
      <c r="F368" s="1" t="s">
        <v>924</v>
      </c>
      <c r="G368" s="1" t="s">
        <v>924</v>
      </c>
      <c r="H368" s="1"/>
      <c r="I368" s="1"/>
      <c r="J368" s="1" t="s">
        <v>19</v>
      </c>
      <c r="K368" s="1" t="s">
        <v>18</v>
      </c>
    </row>
    <row r="369" spans="1:11" x14ac:dyDescent="0.25">
      <c r="A369" s="1" t="s">
        <v>937</v>
      </c>
      <c r="B369" s="1" t="s">
        <v>938</v>
      </c>
      <c r="C369" s="1" t="s">
        <v>939</v>
      </c>
      <c r="D369" s="1" t="s">
        <v>1654</v>
      </c>
      <c r="E369" s="1" t="s">
        <v>38</v>
      </c>
      <c r="F369" s="1" t="s">
        <v>924</v>
      </c>
      <c r="G369" s="1" t="s">
        <v>924</v>
      </c>
      <c r="H369" s="1"/>
      <c r="I369" s="1"/>
      <c r="J369" s="1" t="s">
        <v>19</v>
      </c>
      <c r="K369" s="1" t="s">
        <v>18</v>
      </c>
    </row>
    <row r="370" spans="1:11" x14ac:dyDescent="0.25">
      <c r="A370" s="1" t="s">
        <v>940</v>
      </c>
      <c r="B370" s="1" t="s">
        <v>941</v>
      </c>
      <c r="C370" s="1" t="s">
        <v>942</v>
      </c>
      <c r="D370" s="1" t="s">
        <v>1774</v>
      </c>
      <c r="E370" s="1" t="s">
        <v>38</v>
      </c>
      <c r="F370" s="1" t="s">
        <v>924</v>
      </c>
      <c r="G370" s="1" t="s">
        <v>924</v>
      </c>
      <c r="H370" s="1"/>
      <c r="I370" s="1"/>
      <c r="J370" s="1" t="s">
        <v>19</v>
      </c>
      <c r="K370" s="1" t="s">
        <v>18</v>
      </c>
    </row>
    <row r="371" spans="1:11" x14ac:dyDescent="0.25">
      <c r="A371" s="1" t="s">
        <v>943</v>
      </c>
      <c r="B371" s="1" t="s">
        <v>944</v>
      </c>
      <c r="C371" s="1" t="s">
        <v>942</v>
      </c>
      <c r="D371" s="1" t="s">
        <v>945</v>
      </c>
      <c r="E371" s="1" t="s">
        <v>38</v>
      </c>
      <c r="F371" s="1" t="s">
        <v>924</v>
      </c>
      <c r="G371" s="1" t="s">
        <v>924</v>
      </c>
      <c r="H371" s="1"/>
      <c r="I371" s="1"/>
      <c r="J371" s="1" t="s">
        <v>19</v>
      </c>
      <c r="K371" s="1" t="s">
        <v>18</v>
      </c>
    </row>
    <row r="372" spans="1:11" x14ac:dyDescent="0.25">
      <c r="A372" s="1" t="s">
        <v>946</v>
      </c>
      <c r="B372" s="1" t="s">
        <v>947</v>
      </c>
      <c r="C372" s="1" t="s">
        <v>43</v>
      </c>
      <c r="D372" s="1" t="s">
        <v>1772</v>
      </c>
      <c r="E372" s="1" t="s">
        <v>36</v>
      </c>
      <c r="F372" s="1" t="s">
        <v>40</v>
      </c>
      <c r="G372" s="1" t="s">
        <v>40</v>
      </c>
      <c r="H372" s="1"/>
      <c r="I372" s="1"/>
      <c r="J372" s="1" t="s">
        <v>19</v>
      </c>
      <c r="K372" s="1" t="s">
        <v>18</v>
      </c>
    </row>
    <row r="373" spans="1:11" x14ac:dyDescent="0.25">
      <c r="A373" s="1" t="s">
        <v>948</v>
      </c>
      <c r="B373" s="1" t="s">
        <v>949</v>
      </c>
      <c r="C373" s="1" t="s">
        <v>43</v>
      </c>
      <c r="D373" s="1" t="s">
        <v>1775</v>
      </c>
      <c r="E373" s="1" t="s">
        <v>36</v>
      </c>
      <c r="F373" s="1" t="s">
        <v>40</v>
      </c>
      <c r="G373" s="1" t="s">
        <v>40</v>
      </c>
      <c r="H373" s="1"/>
      <c r="I373" s="1"/>
      <c r="J373" s="1" t="s">
        <v>19</v>
      </c>
      <c r="K373" s="1" t="s">
        <v>18</v>
      </c>
    </row>
    <row r="374" spans="1:11" x14ac:dyDescent="0.25">
      <c r="A374" s="1" t="s">
        <v>950</v>
      </c>
      <c r="B374" s="1" t="s">
        <v>951</v>
      </c>
      <c r="C374" s="1" t="s">
        <v>43</v>
      </c>
      <c r="D374" s="1" t="s">
        <v>952</v>
      </c>
      <c r="E374" s="1" t="s">
        <v>36</v>
      </c>
      <c r="F374" s="1" t="s">
        <v>40</v>
      </c>
      <c r="G374" s="1" t="s">
        <v>40</v>
      </c>
      <c r="H374" s="1"/>
      <c r="I374" s="1"/>
      <c r="J374" s="1" t="s">
        <v>19</v>
      </c>
      <c r="K374" s="1" t="s">
        <v>18</v>
      </c>
    </row>
    <row r="375" spans="1:11" x14ac:dyDescent="0.25">
      <c r="A375" s="1" t="s">
        <v>953</v>
      </c>
      <c r="B375" s="1" t="s">
        <v>954</v>
      </c>
      <c r="C375" s="1" t="s">
        <v>43</v>
      </c>
      <c r="D375" s="1" t="s">
        <v>1776</v>
      </c>
      <c r="E375" s="1" t="s">
        <v>36</v>
      </c>
      <c r="F375" s="1" t="s">
        <v>40</v>
      </c>
      <c r="G375" s="1" t="s">
        <v>40</v>
      </c>
      <c r="H375" s="1"/>
      <c r="I375" s="1"/>
      <c r="J375" s="1" t="s">
        <v>19</v>
      </c>
      <c r="K375" s="1" t="s">
        <v>18</v>
      </c>
    </row>
    <row r="376" spans="1:11" x14ac:dyDescent="0.25">
      <c r="A376" s="1" t="s">
        <v>955</v>
      </c>
      <c r="B376" s="1" t="s">
        <v>956</v>
      </c>
      <c r="C376" s="1" t="s">
        <v>43</v>
      </c>
      <c r="D376" s="1" t="s">
        <v>1777</v>
      </c>
      <c r="E376" s="1" t="s">
        <v>36</v>
      </c>
      <c r="F376" s="1" t="s">
        <v>40</v>
      </c>
      <c r="G376" s="1" t="s">
        <v>40</v>
      </c>
      <c r="H376" s="1"/>
      <c r="I376" s="1"/>
      <c r="J376" s="1" t="s">
        <v>19</v>
      </c>
      <c r="K376" s="1" t="s">
        <v>18</v>
      </c>
    </row>
    <row r="377" spans="1:11" x14ac:dyDescent="0.25">
      <c r="A377" s="1" t="s">
        <v>957</v>
      </c>
      <c r="B377" s="1" t="s">
        <v>958</v>
      </c>
      <c r="C377" s="1" t="s">
        <v>43</v>
      </c>
      <c r="D377" s="1" t="s">
        <v>1778</v>
      </c>
      <c r="E377" s="1" t="s">
        <v>36</v>
      </c>
      <c r="F377" s="1" t="s">
        <v>40</v>
      </c>
      <c r="G377" s="1" t="s">
        <v>40</v>
      </c>
      <c r="H377" s="1"/>
      <c r="I377" s="1"/>
      <c r="J377" s="1" t="s">
        <v>19</v>
      </c>
      <c r="K377" s="1" t="s">
        <v>18</v>
      </c>
    </row>
    <row r="378" spans="1:11" x14ac:dyDescent="0.25">
      <c r="A378" s="1" t="s">
        <v>959</v>
      </c>
      <c r="B378" s="1" t="s">
        <v>960</v>
      </c>
      <c r="C378" s="1" t="s">
        <v>43</v>
      </c>
      <c r="D378" s="1" t="s">
        <v>1645</v>
      </c>
      <c r="E378" s="1" t="s">
        <v>36</v>
      </c>
      <c r="F378" s="1" t="s">
        <v>40</v>
      </c>
      <c r="G378" s="1" t="s">
        <v>40</v>
      </c>
      <c r="H378" s="1"/>
      <c r="I378" s="1"/>
      <c r="J378" s="1" t="s">
        <v>19</v>
      </c>
      <c r="K378" s="1" t="s">
        <v>18</v>
      </c>
    </row>
    <row r="379" spans="1:11" x14ac:dyDescent="0.25">
      <c r="A379" s="1" t="s">
        <v>961</v>
      </c>
      <c r="B379" s="1" t="s">
        <v>962</v>
      </c>
      <c r="C379" s="1" t="s">
        <v>43</v>
      </c>
      <c r="D379" s="1" t="s">
        <v>1779</v>
      </c>
      <c r="E379" s="1" t="s">
        <v>36</v>
      </c>
      <c r="F379" s="1" t="s">
        <v>40</v>
      </c>
      <c r="G379" s="1" t="s">
        <v>40</v>
      </c>
      <c r="H379" s="1"/>
      <c r="I379" s="1"/>
      <c r="J379" s="1" t="s">
        <v>19</v>
      </c>
      <c r="K379" s="1" t="s">
        <v>18</v>
      </c>
    </row>
    <row r="380" spans="1:11" x14ac:dyDescent="0.25">
      <c r="A380" s="1" t="s">
        <v>963</v>
      </c>
      <c r="B380" s="1" t="s">
        <v>964</v>
      </c>
      <c r="C380" s="1" t="s">
        <v>43</v>
      </c>
      <c r="D380" s="1" t="s">
        <v>1780</v>
      </c>
      <c r="E380" s="1" t="s">
        <v>36</v>
      </c>
      <c r="F380" s="1" t="s">
        <v>40</v>
      </c>
      <c r="G380" s="1" t="s">
        <v>40</v>
      </c>
      <c r="H380" s="1"/>
      <c r="I380" s="1"/>
      <c r="J380" s="1" t="s">
        <v>19</v>
      </c>
      <c r="K380" s="1" t="s">
        <v>18</v>
      </c>
    </row>
    <row r="381" spans="1:11" x14ac:dyDescent="0.25">
      <c r="A381" s="1" t="s">
        <v>965</v>
      </c>
      <c r="B381" s="1" t="s">
        <v>966</v>
      </c>
      <c r="C381" s="1" t="s">
        <v>43</v>
      </c>
      <c r="D381" s="1" t="s">
        <v>1781</v>
      </c>
      <c r="E381" s="1" t="s">
        <v>36</v>
      </c>
      <c r="F381" s="1" t="s">
        <v>40</v>
      </c>
      <c r="G381" s="1" t="s">
        <v>40</v>
      </c>
      <c r="H381" s="1"/>
      <c r="I381" s="1"/>
      <c r="J381" s="1" t="s">
        <v>19</v>
      </c>
      <c r="K381" s="1" t="s">
        <v>18</v>
      </c>
    </row>
    <row r="382" spans="1:11" x14ac:dyDescent="0.25">
      <c r="A382" s="1" t="s">
        <v>967</v>
      </c>
      <c r="B382" s="1" t="s">
        <v>968</v>
      </c>
      <c r="C382" s="1" t="s">
        <v>149</v>
      </c>
      <c r="D382" s="1" t="s">
        <v>1782</v>
      </c>
      <c r="E382" s="1" t="s">
        <v>36</v>
      </c>
      <c r="F382" s="1" t="s">
        <v>40</v>
      </c>
      <c r="G382" s="1" t="s">
        <v>40</v>
      </c>
      <c r="H382" s="1"/>
      <c r="I382" s="1"/>
      <c r="J382" s="1" t="s">
        <v>19</v>
      </c>
      <c r="K382" s="1" t="s">
        <v>18</v>
      </c>
    </row>
    <row r="383" spans="1:11" x14ac:dyDescent="0.25">
      <c r="A383" s="1" t="s">
        <v>969</v>
      </c>
      <c r="B383" s="1" t="s">
        <v>970</v>
      </c>
      <c r="C383" s="1" t="s">
        <v>43</v>
      </c>
      <c r="D383" s="1" t="s">
        <v>971</v>
      </c>
      <c r="E383" s="1" t="s">
        <v>36</v>
      </c>
      <c r="F383" s="1" t="s">
        <v>40</v>
      </c>
      <c r="G383" s="1" t="s">
        <v>40</v>
      </c>
      <c r="H383" s="1"/>
      <c r="I383" s="1"/>
      <c r="J383" s="1" t="s">
        <v>19</v>
      </c>
      <c r="K383" s="1" t="s">
        <v>18</v>
      </c>
    </row>
    <row r="384" spans="1:11" x14ac:dyDescent="0.25">
      <c r="A384" s="1" t="s">
        <v>972</v>
      </c>
      <c r="B384" s="1" t="s">
        <v>973</v>
      </c>
      <c r="C384" s="1" t="s">
        <v>156</v>
      </c>
      <c r="D384" s="1" t="s">
        <v>1783</v>
      </c>
      <c r="E384" s="1" t="s">
        <v>36</v>
      </c>
      <c r="F384" s="1" t="s">
        <v>40</v>
      </c>
      <c r="G384" s="1" t="s">
        <v>40</v>
      </c>
      <c r="H384" s="1"/>
      <c r="I384" s="1"/>
      <c r="J384" s="1" t="s">
        <v>19</v>
      </c>
      <c r="K384" s="1" t="s">
        <v>18</v>
      </c>
    </row>
    <row r="385" spans="1:11" x14ac:dyDescent="0.25">
      <c r="A385" s="1" t="s">
        <v>975</v>
      </c>
      <c r="B385" s="1" t="s">
        <v>976</v>
      </c>
      <c r="C385" s="1" t="s">
        <v>149</v>
      </c>
      <c r="D385" s="1" t="s">
        <v>1784</v>
      </c>
      <c r="E385" s="1" t="s">
        <v>36</v>
      </c>
      <c r="F385" s="1" t="s">
        <v>40</v>
      </c>
      <c r="G385" s="1" t="s">
        <v>40</v>
      </c>
      <c r="H385" s="1"/>
      <c r="I385" s="1"/>
      <c r="J385" s="1" t="s">
        <v>19</v>
      </c>
      <c r="K385" s="1" t="s">
        <v>18</v>
      </c>
    </row>
    <row r="386" spans="1:11" x14ac:dyDescent="0.25">
      <c r="A386" s="1" t="s">
        <v>977</v>
      </c>
      <c r="B386" s="1" t="s">
        <v>978</v>
      </c>
      <c r="C386" s="1" t="s">
        <v>149</v>
      </c>
      <c r="D386" s="1" t="s">
        <v>1785</v>
      </c>
      <c r="E386" s="1" t="s">
        <v>36</v>
      </c>
      <c r="F386" s="1" t="s">
        <v>40</v>
      </c>
      <c r="G386" s="1" t="s">
        <v>40</v>
      </c>
      <c r="H386" s="1"/>
      <c r="I386" s="1"/>
      <c r="J386" s="1" t="s">
        <v>19</v>
      </c>
      <c r="K386" s="1" t="s">
        <v>18</v>
      </c>
    </row>
    <row r="387" spans="1:11" x14ac:dyDescent="0.25">
      <c r="A387" s="1" t="s">
        <v>979</v>
      </c>
      <c r="B387" s="1" t="s">
        <v>980</v>
      </c>
      <c r="C387" s="1" t="s">
        <v>156</v>
      </c>
      <c r="D387" s="1" t="s">
        <v>1786</v>
      </c>
      <c r="E387" s="1" t="s">
        <v>36</v>
      </c>
      <c r="F387" s="1" t="s">
        <v>40</v>
      </c>
      <c r="G387" s="1" t="s">
        <v>40</v>
      </c>
      <c r="H387" s="1"/>
      <c r="I387" s="1"/>
      <c r="J387" s="1" t="s">
        <v>19</v>
      </c>
      <c r="K387" s="1" t="s">
        <v>18</v>
      </c>
    </row>
    <row r="388" spans="1:11" x14ac:dyDescent="0.25">
      <c r="A388" s="1" t="s">
        <v>981</v>
      </c>
      <c r="B388" s="1" t="s">
        <v>982</v>
      </c>
      <c r="C388" s="1" t="s">
        <v>974</v>
      </c>
      <c r="D388" s="1" t="s">
        <v>1787</v>
      </c>
      <c r="E388" s="1" t="s">
        <v>36</v>
      </c>
      <c r="F388" s="1" t="s">
        <v>40</v>
      </c>
      <c r="G388" s="1" t="s">
        <v>40</v>
      </c>
      <c r="H388" s="1"/>
      <c r="I388" s="1"/>
      <c r="J388" s="1" t="s">
        <v>19</v>
      </c>
      <c r="K388" s="1" t="s">
        <v>18</v>
      </c>
    </row>
    <row r="389" spans="1:11" x14ac:dyDescent="0.25">
      <c r="A389" s="1" t="s">
        <v>983</v>
      </c>
      <c r="B389" s="1" t="s">
        <v>984</v>
      </c>
      <c r="C389" s="1" t="s">
        <v>985</v>
      </c>
      <c r="D389" s="1" t="s">
        <v>1788</v>
      </c>
      <c r="E389" s="1" t="s">
        <v>913</v>
      </c>
      <c r="F389" s="1" t="s">
        <v>986</v>
      </c>
      <c r="G389" s="1" t="s">
        <v>986</v>
      </c>
      <c r="H389" s="1"/>
      <c r="I389" s="1" t="s">
        <v>10</v>
      </c>
      <c r="J389" s="1" t="s">
        <v>19</v>
      </c>
      <c r="K389" s="1" t="s">
        <v>18</v>
      </c>
    </row>
    <row r="390" spans="1:11" x14ac:dyDescent="0.25">
      <c r="A390" s="1" t="s">
        <v>987</v>
      </c>
      <c r="B390" s="1" t="s">
        <v>988</v>
      </c>
      <c r="C390" s="1" t="s">
        <v>989</v>
      </c>
      <c r="D390" s="1" t="s">
        <v>990</v>
      </c>
      <c r="E390" s="1" t="s">
        <v>913</v>
      </c>
      <c r="F390" s="1" t="s">
        <v>40</v>
      </c>
      <c r="G390" s="1" t="s">
        <v>40</v>
      </c>
      <c r="H390" s="1"/>
      <c r="I390" s="1" t="s">
        <v>10</v>
      </c>
      <c r="J390" s="1" t="s">
        <v>19</v>
      </c>
      <c r="K390" s="1" t="s">
        <v>18</v>
      </c>
    </row>
    <row r="391" spans="1:11" x14ac:dyDescent="0.25">
      <c r="A391" s="1" t="s">
        <v>991</v>
      </c>
      <c r="B391" s="1" t="s">
        <v>992</v>
      </c>
      <c r="C391" s="1" t="s">
        <v>1044</v>
      </c>
      <c r="D391" s="1" t="s">
        <v>1780</v>
      </c>
      <c r="E391" s="1" t="s">
        <v>913</v>
      </c>
      <c r="F391" s="1" t="s">
        <v>40</v>
      </c>
      <c r="G391" s="1" t="s">
        <v>40</v>
      </c>
      <c r="H391" s="1"/>
      <c r="I391" s="1" t="s">
        <v>10</v>
      </c>
      <c r="J391" s="1" t="s">
        <v>19</v>
      </c>
      <c r="K391" s="1" t="s">
        <v>18</v>
      </c>
    </row>
    <row r="392" spans="1:11" x14ac:dyDescent="0.25">
      <c r="A392" s="1" t="s">
        <v>993</v>
      </c>
      <c r="B392" s="1" t="s">
        <v>994</v>
      </c>
      <c r="C392" s="1" t="s">
        <v>12</v>
      </c>
      <c r="D392" s="1" t="s">
        <v>1746</v>
      </c>
      <c r="E392" s="1" t="s">
        <v>913</v>
      </c>
      <c r="F392" s="1" t="s">
        <v>40</v>
      </c>
      <c r="G392" s="1" t="s">
        <v>40</v>
      </c>
      <c r="H392" s="1"/>
      <c r="I392" s="1" t="s">
        <v>10</v>
      </c>
      <c r="J392" s="1" t="s">
        <v>19</v>
      </c>
      <c r="K392" s="1" t="s">
        <v>18</v>
      </c>
    </row>
    <row r="393" spans="1:11" x14ac:dyDescent="0.25">
      <c r="A393" s="1" t="s">
        <v>995</v>
      </c>
      <c r="B393" s="1" t="s">
        <v>996</v>
      </c>
      <c r="C393" s="1" t="s">
        <v>989</v>
      </c>
      <c r="D393" s="1" t="s">
        <v>1789</v>
      </c>
      <c r="E393" s="1" t="s">
        <v>913</v>
      </c>
      <c r="F393" s="1" t="s">
        <v>40</v>
      </c>
      <c r="G393" s="1" t="s">
        <v>40</v>
      </c>
      <c r="H393" s="1"/>
      <c r="I393" s="1" t="s">
        <v>10</v>
      </c>
      <c r="J393" s="1" t="s">
        <v>19</v>
      </c>
      <c r="K393" s="1" t="s">
        <v>18</v>
      </c>
    </row>
    <row r="394" spans="1:11" x14ac:dyDescent="0.25">
      <c r="A394" s="1" t="s">
        <v>998</v>
      </c>
      <c r="B394" s="1" t="s">
        <v>999</v>
      </c>
      <c r="C394" s="1" t="s">
        <v>807</v>
      </c>
      <c r="D394" s="1" t="s">
        <v>1745</v>
      </c>
      <c r="E394" s="1" t="s">
        <v>913</v>
      </c>
      <c r="F394" s="1" t="s">
        <v>40</v>
      </c>
      <c r="G394" s="1" t="s">
        <v>40</v>
      </c>
      <c r="H394" s="1"/>
      <c r="I394" s="1" t="s">
        <v>10</v>
      </c>
      <c r="J394" s="1" t="s">
        <v>19</v>
      </c>
      <c r="K394" s="1" t="s">
        <v>18</v>
      </c>
    </row>
    <row r="395" spans="1:11" x14ac:dyDescent="0.25">
      <c r="A395" s="1" t="s">
        <v>1000</v>
      </c>
      <c r="B395" s="1" t="s">
        <v>1001</v>
      </c>
      <c r="C395" s="1" t="s">
        <v>12</v>
      </c>
      <c r="D395" s="1" t="s">
        <v>1790</v>
      </c>
      <c r="E395" s="1" t="s">
        <v>913</v>
      </c>
      <c r="F395" s="1" t="s">
        <v>40</v>
      </c>
      <c r="G395" s="1" t="s">
        <v>40</v>
      </c>
      <c r="H395" s="1"/>
      <c r="I395" s="1" t="s">
        <v>10</v>
      </c>
      <c r="J395" s="1" t="s">
        <v>19</v>
      </c>
      <c r="K395" s="1" t="s">
        <v>18</v>
      </c>
    </row>
    <row r="396" spans="1:11" x14ac:dyDescent="0.25">
      <c r="A396" s="1" t="s">
        <v>1002</v>
      </c>
      <c r="B396" s="1" t="s">
        <v>1003</v>
      </c>
      <c r="C396" s="1" t="s">
        <v>985</v>
      </c>
      <c r="D396" s="1" t="s">
        <v>1791</v>
      </c>
      <c r="E396" s="1" t="s">
        <v>913</v>
      </c>
      <c r="F396" s="1" t="s">
        <v>986</v>
      </c>
      <c r="G396" s="1" t="s">
        <v>986</v>
      </c>
      <c r="H396" s="1"/>
      <c r="I396" s="1" t="s">
        <v>10</v>
      </c>
      <c r="J396" s="1" t="s">
        <v>19</v>
      </c>
      <c r="K396" s="1" t="s">
        <v>18</v>
      </c>
    </row>
    <row r="397" spans="1:11" x14ac:dyDescent="0.25">
      <c r="A397" s="1" t="s">
        <v>1004</v>
      </c>
      <c r="B397" s="1" t="s">
        <v>1005</v>
      </c>
      <c r="C397" s="1" t="s">
        <v>997</v>
      </c>
      <c r="D397" s="1" t="s">
        <v>1006</v>
      </c>
      <c r="E397" s="1" t="s">
        <v>913</v>
      </c>
      <c r="F397" s="1" t="s">
        <v>986</v>
      </c>
      <c r="G397" s="1" t="s">
        <v>986</v>
      </c>
      <c r="H397" s="1"/>
      <c r="I397" s="1" t="s">
        <v>10</v>
      </c>
      <c r="J397" s="1" t="s">
        <v>19</v>
      </c>
      <c r="K397" s="1" t="s">
        <v>18</v>
      </c>
    </row>
    <row r="398" spans="1:11" x14ac:dyDescent="0.25">
      <c r="A398" s="1" t="s">
        <v>1007</v>
      </c>
      <c r="B398" s="1" t="s">
        <v>1008</v>
      </c>
      <c r="C398" s="1" t="s">
        <v>997</v>
      </c>
      <c r="D398" s="1" t="s">
        <v>1792</v>
      </c>
      <c r="E398" s="1" t="s">
        <v>913</v>
      </c>
      <c r="F398" s="1" t="s">
        <v>986</v>
      </c>
      <c r="G398" s="1" t="s">
        <v>986</v>
      </c>
      <c r="H398" s="1"/>
      <c r="I398" s="1" t="s">
        <v>10</v>
      </c>
      <c r="J398" s="1" t="s">
        <v>19</v>
      </c>
      <c r="K398" s="1" t="s">
        <v>18</v>
      </c>
    </row>
    <row r="399" spans="1:11" x14ac:dyDescent="0.25">
      <c r="A399" s="1" t="s">
        <v>1009</v>
      </c>
      <c r="B399" s="1" t="s">
        <v>1010</v>
      </c>
      <c r="C399" s="1" t="s">
        <v>985</v>
      </c>
      <c r="D399" s="1" t="s">
        <v>1544</v>
      </c>
      <c r="E399" s="1" t="s">
        <v>913</v>
      </c>
      <c r="F399" s="1" t="s">
        <v>986</v>
      </c>
      <c r="G399" s="1" t="s">
        <v>986</v>
      </c>
      <c r="H399" s="1"/>
      <c r="I399" s="1" t="s">
        <v>10</v>
      </c>
      <c r="J399" s="1" t="s">
        <v>19</v>
      </c>
      <c r="K399" s="1" t="s">
        <v>18</v>
      </c>
    </row>
    <row r="400" spans="1:11" x14ac:dyDescent="0.25">
      <c r="A400" s="1" t="s">
        <v>1011</v>
      </c>
      <c r="B400" s="1" t="s">
        <v>1012</v>
      </c>
      <c r="C400" s="1" t="s">
        <v>997</v>
      </c>
      <c r="D400" s="1" t="s">
        <v>1793</v>
      </c>
      <c r="E400" s="1" t="s">
        <v>913</v>
      </c>
      <c r="F400" s="1" t="s">
        <v>986</v>
      </c>
      <c r="G400" s="1" t="s">
        <v>986</v>
      </c>
      <c r="H400" s="1"/>
      <c r="I400" s="1" t="s">
        <v>10</v>
      </c>
      <c r="J400" s="1" t="s">
        <v>19</v>
      </c>
      <c r="K400" s="1" t="s">
        <v>18</v>
      </c>
    </row>
    <row r="401" spans="1:11" x14ac:dyDescent="0.25">
      <c r="A401" s="1" t="s">
        <v>1013</v>
      </c>
      <c r="B401" s="1" t="s">
        <v>1014</v>
      </c>
      <c r="C401" s="1" t="s">
        <v>415</v>
      </c>
      <c r="D401" s="1" t="s">
        <v>1015</v>
      </c>
      <c r="E401" s="1" t="s">
        <v>913</v>
      </c>
      <c r="F401" s="1" t="s">
        <v>986</v>
      </c>
      <c r="G401" s="1" t="s">
        <v>986</v>
      </c>
      <c r="H401" s="1"/>
      <c r="I401" s="1" t="s">
        <v>10</v>
      </c>
      <c r="J401" s="1" t="s">
        <v>19</v>
      </c>
      <c r="K401" s="1" t="s">
        <v>18</v>
      </c>
    </row>
    <row r="402" spans="1:11" x14ac:dyDescent="0.25">
      <c r="A402" s="1" t="s">
        <v>1016</v>
      </c>
      <c r="B402" s="1" t="s">
        <v>1017</v>
      </c>
      <c r="C402" s="1" t="s">
        <v>12</v>
      </c>
      <c r="D402" s="1" t="s">
        <v>1714</v>
      </c>
      <c r="E402" s="1" t="s">
        <v>913</v>
      </c>
      <c r="F402" s="1" t="s">
        <v>986</v>
      </c>
      <c r="G402" s="1" t="s">
        <v>986</v>
      </c>
      <c r="H402" s="1"/>
      <c r="I402" s="1" t="s">
        <v>10</v>
      </c>
      <c r="J402" s="1" t="s">
        <v>19</v>
      </c>
      <c r="K402" s="1" t="s">
        <v>18</v>
      </c>
    </row>
    <row r="403" spans="1:11" x14ac:dyDescent="0.25">
      <c r="A403" s="1" t="s">
        <v>1018</v>
      </c>
      <c r="B403" s="1" t="s">
        <v>1019</v>
      </c>
      <c r="C403" s="1" t="s">
        <v>985</v>
      </c>
      <c r="D403" s="1" t="s">
        <v>1794</v>
      </c>
      <c r="E403" s="1" t="s">
        <v>913</v>
      </c>
      <c r="F403" s="1" t="s">
        <v>986</v>
      </c>
      <c r="G403" s="1" t="s">
        <v>986</v>
      </c>
      <c r="H403" s="1"/>
      <c r="I403" s="1" t="s">
        <v>10</v>
      </c>
      <c r="J403" s="1" t="s">
        <v>19</v>
      </c>
      <c r="K403" s="1" t="s">
        <v>18</v>
      </c>
    </row>
    <row r="404" spans="1:11" x14ac:dyDescent="0.25">
      <c r="A404" s="1" t="s">
        <v>1020</v>
      </c>
      <c r="B404" s="1" t="s">
        <v>1021</v>
      </c>
      <c r="C404" s="1" t="s">
        <v>997</v>
      </c>
      <c r="D404" s="1" t="s">
        <v>1795</v>
      </c>
      <c r="E404" s="1" t="s">
        <v>913</v>
      </c>
      <c r="F404" s="1" t="s">
        <v>986</v>
      </c>
      <c r="G404" s="1" t="s">
        <v>986</v>
      </c>
      <c r="H404" s="1"/>
      <c r="I404" s="1" t="s">
        <v>10</v>
      </c>
      <c r="J404" s="1" t="s">
        <v>19</v>
      </c>
      <c r="K404" s="1" t="s">
        <v>18</v>
      </c>
    </row>
    <row r="405" spans="1:11" x14ac:dyDescent="0.25">
      <c r="A405" s="1" t="s">
        <v>1022</v>
      </c>
      <c r="B405" s="1" t="s">
        <v>1023</v>
      </c>
      <c r="C405" s="1" t="s">
        <v>997</v>
      </c>
      <c r="D405" s="1" t="s">
        <v>1590</v>
      </c>
      <c r="E405" s="1" t="s">
        <v>913</v>
      </c>
      <c r="F405" s="1" t="s">
        <v>986</v>
      </c>
      <c r="G405" s="1" t="s">
        <v>986</v>
      </c>
      <c r="H405" s="1"/>
      <c r="I405" s="1" t="s">
        <v>10</v>
      </c>
      <c r="J405" s="1" t="s">
        <v>19</v>
      </c>
      <c r="K405" s="1" t="s">
        <v>18</v>
      </c>
    </row>
    <row r="406" spans="1:11" x14ac:dyDescent="0.25">
      <c r="A406" s="1" t="s">
        <v>1024</v>
      </c>
      <c r="B406" s="1" t="s">
        <v>1025</v>
      </c>
      <c r="C406" s="1" t="s">
        <v>985</v>
      </c>
      <c r="D406" s="1" t="s">
        <v>1796</v>
      </c>
      <c r="E406" s="1" t="s">
        <v>913</v>
      </c>
      <c r="F406" s="1" t="s">
        <v>986</v>
      </c>
      <c r="G406" s="1" t="s">
        <v>986</v>
      </c>
      <c r="H406" s="1"/>
      <c r="I406" s="1" t="s">
        <v>10</v>
      </c>
      <c r="J406" s="1" t="s">
        <v>19</v>
      </c>
      <c r="K406" s="1" t="s">
        <v>18</v>
      </c>
    </row>
    <row r="407" spans="1:11" x14ac:dyDescent="0.25">
      <c r="A407" s="1" t="s">
        <v>1026</v>
      </c>
      <c r="B407" s="1" t="s">
        <v>1027</v>
      </c>
      <c r="C407" s="1" t="s">
        <v>985</v>
      </c>
      <c r="D407" s="1" t="s">
        <v>1736</v>
      </c>
      <c r="E407" s="1" t="s">
        <v>913</v>
      </c>
      <c r="F407" s="1" t="s">
        <v>986</v>
      </c>
      <c r="G407" s="1" t="s">
        <v>986</v>
      </c>
      <c r="H407" s="1"/>
      <c r="I407" s="1" t="s">
        <v>10</v>
      </c>
      <c r="J407" s="1" t="s">
        <v>19</v>
      </c>
      <c r="K407" s="1" t="s">
        <v>18</v>
      </c>
    </row>
    <row r="408" spans="1:11" x14ac:dyDescent="0.25">
      <c r="A408" s="1" t="s">
        <v>1028</v>
      </c>
      <c r="B408" s="1" t="s">
        <v>1029</v>
      </c>
      <c r="C408" s="1" t="s">
        <v>12</v>
      </c>
      <c r="D408" s="1" t="s">
        <v>952</v>
      </c>
      <c r="E408" s="1" t="s">
        <v>913</v>
      </c>
      <c r="F408" s="1" t="s">
        <v>986</v>
      </c>
      <c r="G408" s="1" t="s">
        <v>986</v>
      </c>
      <c r="H408" s="1"/>
      <c r="I408" s="1" t="s">
        <v>10</v>
      </c>
      <c r="J408" s="1" t="s">
        <v>19</v>
      </c>
      <c r="K408" s="1" t="s">
        <v>18</v>
      </c>
    </row>
    <row r="409" spans="1:11" x14ac:dyDescent="0.25">
      <c r="A409" s="1" t="s">
        <v>1030</v>
      </c>
      <c r="B409" s="1" t="s">
        <v>1031</v>
      </c>
      <c r="C409" s="1" t="s">
        <v>997</v>
      </c>
      <c r="D409" s="1" t="s">
        <v>1600</v>
      </c>
      <c r="E409" s="1" t="s">
        <v>913</v>
      </c>
      <c r="F409" s="1" t="s">
        <v>986</v>
      </c>
      <c r="G409" s="1" t="s">
        <v>986</v>
      </c>
      <c r="H409" s="1"/>
      <c r="I409" s="1" t="s">
        <v>10</v>
      </c>
      <c r="J409" s="1" t="s">
        <v>19</v>
      </c>
      <c r="K409" s="1" t="s">
        <v>18</v>
      </c>
    </row>
    <row r="410" spans="1:11" x14ac:dyDescent="0.25">
      <c r="A410" s="1" t="s">
        <v>1032</v>
      </c>
      <c r="B410" s="1" t="s">
        <v>1033</v>
      </c>
      <c r="C410" s="1" t="s">
        <v>997</v>
      </c>
      <c r="D410" s="1" t="s">
        <v>1713</v>
      </c>
      <c r="E410" s="1" t="s">
        <v>913</v>
      </c>
      <c r="F410" s="1" t="s">
        <v>986</v>
      </c>
      <c r="G410" s="1" t="s">
        <v>986</v>
      </c>
      <c r="H410" s="1"/>
      <c r="I410" s="1" t="s">
        <v>10</v>
      </c>
      <c r="J410" s="1" t="s">
        <v>19</v>
      </c>
      <c r="K410" s="1" t="s">
        <v>18</v>
      </c>
    </row>
    <row r="411" spans="1:11" x14ac:dyDescent="0.25">
      <c r="A411" s="1" t="s">
        <v>1034</v>
      </c>
      <c r="B411" s="1" t="s">
        <v>1035</v>
      </c>
      <c r="C411" s="1" t="s">
        <v>1036</v>
      </c>
      <c r="D411" s="1" t="s">
        <v>1797</v>
      </c>
      <c r="E411" s="1" t="s">
        <v>913</v>
      </c>
      <c r="F411" s="1" t="s">
        <v>40</v>
      </c>
      <c r="G411" s="1" t="s">
        <v>40</v>
      </c>
      <c r="H411" s="1"/>
      <c r="I411" s="1" t="s">
        <v>10</v>
      </c>
      <c r="J411" s="1" t="s">
        <v>19</v>
      </c>
      <c r="K411" s="1" t="s">
        <v>18</v>
      </c>
    </row>
    <row r="412" spans="1:11" x14ac:dyDescent="0.25">
      <c r="A412" s="1" t="s">
        <v>1037</v>
      </c>
      <c r="B412" s="1" t="s">
        <v>1038</v>
      </c>
      <c r="C412" s="1" t="s">
        <v>415</v>
      </c>
      <c r="D412" s="1" t="s">
        <v>1773</v>
      </c>
      <c r="E412" s="1" t="s">
        <v>913</v>
      </c>
      <c r="F412" s="1" t="s">
        <v>40</v>
      </c>
      <c r="G412" s="1" t="s">
        <v>40</v>
      </c>
      <c r="H412" s="1"/>
      <c r="I412" s="1" t="s">
        <v>10</v>
      </c>
      <c r="J412" s="1" t="s">
        <v>19</v>
      </c>
      <c r="K412" s="1" t="s">
        <v>18</v>
      </c>
    </row>
    <row r="413" spans="1:11" x14ac:dyDescent="0.25">
      <c r="A413" s="1" t="s">
        <v>1039</v>
      </c>
      <c r="B413" s="1" t="s">
        <v>1040</v>
      </c>
      <c r="C413" s="1" t="s">
        <v>14</v>
      </c>
      <c r="D413" s="1" t="s">
        <v>1798</v>
      </c>
      <c r="E413" s="1" t="s">
        <v>913</v>
      </c>
      <c r="F413" s="1" t="s">
        <v>40</v>
      </c>
      <c r="G413" s="1" t="s">
        <v>40</v>
      </c>
      <c r="H413" s="1"/>
      <c r="I413" s="1" t="s">
        <v>10</v>
      </c>
      <c r="J413" s="1" t="s">
        <v>19</v>
      </c>
      <c r="K413" s="1" t="s">
        <v>18</v>
      </c>
    </row>
    <row r="414" spans="1:11" x14ac:dyDescent="0.25">
      <c r="A414" s="1" t="s">
        <v>1042</v>
      </c>
      <c r="B414" s="1" t="s">
        <v>1043</v>
      </c>
      <c r="C414" s="1" t="s">
        <v>807</v>
      </c>
      <c r="D414" s="1" t="s">
        <v>1799</v>
      </c>
      <c r="E414" s="1" t="s">
        <v>913</v>
      </c>
      <c r="F414" s="1" t="s">
        <v>40</v>
      </c>
      <c r="G414" s="1" t="s">
        <v>40</v>
      </c>
      <c r="H414" s="1"/>
      <c r="I414" s="1" t="s">
        <v>10</v>
      </c>
      <c r="J414" s="1" t="s">
        <v>19</v>
      </c>
      <c r="K414" s="1" t="s">
        <v>18</v>
      </c>
    </row>
    <row r="415" spans="1:11" x14ac:dyDescent="0.25">
      <c r="A415" s="1" t="s">
        <v>1045</v>
      </c>
      <c r="B415" s="1" t="s">
        <v>1046</v>
      </c>
      <c r="C415" s="1" t="s">
        <v>807</v>
      </c>
      <c r="D415" s="1" t="s">
        <v>1047</v>
      </c>
      <c r="E415" s="1" t="s">
        <v>913</v>
      </c>
      <c r="F415" s="1" t="s">
        <v>40</v>
      </c>
      <c r="G415" s="1" t="s">
        <v>40</v>
      </c>
      <c r="H415" s="1"/>
      <c r="I415" s="1" t="s">
        <v>10</v>
      </c>
      <c r="J415" s="1" t="s">
        <v>19</v>
      </c>
      <c r="K415" s="1" t="s">
        <v>18</v>
      </c>
    </row>
    <row r="416" spans="1:11" x14ac:dyDescent="0.25">
      <c r="A416" s="1" t="s">
        <v>1048</v>
      </c>
      <c r="B416" s="1" t="s">
        <v>1049</v>
      </c>
      <c r="C416" s="1" t="s">
        <v>807</v>
      </c>
      <c r="D416" s="1" t="s">
        <v>1800</v>
      </c>
      <c r="E416" s="1" t="s">
        <v>913</v>
      </c>
      <c r="F416" s="1" t="s">
        <v>40</v>
      </c>
      <c r="G416" s="1" t="s">
        <v>40</v>
      </c>
      <c r="H416" s="1"/>
      <c r="I416" s="1" t="s">
        <v>10</v>
      </c>
      <c r="J416" s="1" t="s">
        <v>19</v>
      </c>
      <c r="K416" s="1" t="s">
        <v>18</v>
      </c>
    </row>
    <row r="417" spans="1:11" x14ac:dyDescent="0.25">
      <c r="A417" s="1" t="s">
        <v>1050</v>
      </c>
      <c r="B417" s="1" t="s">
        <v>1051</v>
      </c>
      <c r="C417" s="1" t="s">
        <v>30</v>
      </c>
      <c r="D417" s="1" t="s">
        <v>1559</v>
      </c>
      <c r="E417" s="1" t="s">
        <v>913</v>
      </c>
      <c r="F417" s="1" t="s">
        <v>40</v>
      </c>
      <c r="G417" s="1" t="s">
        <v>40</v>
      </c>
      <c r="H417" s="1"/>
      <c r="I417" s="1" t="s">
        <v>10</v>
      </c>
      <c r="J417" s="1" t="s">
        <v>19</v>
      </c>
      <c r="K417" s="1" t="s">
        <v>18</v>
      </c>
    </row>
    <row r="418" spans="1:11" x14ac:dyDescent="0.25">
      <c r="A418" s="1" t="s">
        <v>1052</v>
      </c>
      <c r="B418" s="1" t="s">
        <v>1053</v>
      </c>
      <c r="C418" s="1" t="s">
        <v>807</v>
      </c>
      <c r="D418" s="1" t="s">
        <v>1746</v>
      </c>
      <c r="E418" s="1" t="s">
        <v>913</v>
      </c>
      <c r="F418" s="1" t="s">
        <v>40</v>
      </c>
      <c r="G418" s="1" t="s">
        <v>40</v>
      </c>
      <c r="H418" s="1"/>
      <c r="I418" s="1" t="s">
        <v>10</v>
      </c>
      <c r="J418" s="1" t="s">
        <v>19</v>
      </c>
      <c r="K418" s="1" t="s">
        <v>18</v>
      </c>
    </row>
    <row r="419" spans="1:11" x14ac:dyDescent="0.25">
      <c r="A419" s="1" t="s">
        <v>1054</v>
      </c>
      <c r="B419" s="1" t="s">
        <v>1055</v>
      </c>
      <c r="C419" s="1" t="s">
        <v>1036</v>
      </c>
      <c r="D419" s="1" t="s">
        <v>1774</v>
      </c>
      <c r="E419" s="1" t="s">
        <v>913</v>
      </c>
      <c r="F419" s="1" t="s">
        <v>40</v>
      </c>
      <c r="G419" s="1" t="s">
        <v>40</v>
      </c>
      <c r="H419" s="1"/>
      <c r="I419" s="1" t="s">
        <v>10</v>
      </c>
      <c r="J419" s="1" t="s">
        <v>19</v>
      </c>
      <c r="K419" s="1" t="s">
        <v>18</v>
      </c>
    </row>
    <row r="420" spans="1:11" x14ac:dyDescent="0.25">
      <c r="A420" s="1" t="s">
        <v>1056</v>
      </c>
      <c r="B420" s="1" t="s">
        <v>1057</v>
      </c>
      <c r="C420" s="1" t="s">
        <v>1044</v>
      </c>
      <c r="D420" s="1" t="s">
        <v>1801</v>
      </c>
      <c r="E420" s="1" t="s">
        <v>913</v>
      </c>
      <c r="F420" s="1" t="s">
        <v>40</v>
      </c>
      <c r="G420" s="1" t="s">
        <v>40</v>
      </c>
      <c r="H420" s="1"/>
      <c r="I420" s="1" t="s">
        <v>10</v>
      </c>
      <c r="J420" s="1" t="s">
        <v>19</v>
      </c>
      <c r="K420" s="1" t="s">
        <v>18</v>
      </c>
    </row>
    <row r="421" spans="1:11" x14ac:dyDescent="0.25">
      <c r="A421" s="1" t="s">
        <v>1058</v>
      </c>
      <c r="B421" s="1" t="s">
        <v>1059</v>
      </c>
      <c r="C421" s="1" t="s">
        <v>807</v>
      </c>
      <c r="D421" s="1" t="s">
        <v>1765</v>
      </c>
      <c r="E421" s="1" t="s">
        <v>913</v>
      </c>
      <c r="F421" s="1" t="s">
        <v>40</v>
      </c>
      <c r="G421" s="1" t="s">
        <v>40</v>
      </c>
      <c r="H421" s="1"/>
      <c r="I421" s="1" t="s">
        <v>10</v>
      </c>
      <c r="J421" s="1" t="s">
        <v>19</v>
      </c>
      <c r="K421" s="1" t="s">
        <v>18</v>
      </c>
    </row>
    <row r="422" spans="1:11" x14ac:dyDescent="0.25">
      <c r="A422" s="1" t="s">
        <v>1060</v>
      </c>
      <c r="B422" s="1" t="s">
        <v>1061</v>
      </c>
      <c r="C422" s="1" t="s">
        <v>1041</v>
      </c>
      <c r="D422" s="1" t="s">
        <v>1802</v>
      </c>
      <c r="E422" s="1" t="s">
        <v>913</v>
      </c>
      <c r="F422" s="1" t="s">
        <v>40</v>
      </c>
      <c r="G422" s="1" t="s">
        <v>40</v>
      </c>
      <c r="H422" s="1"/>
      <c r="I422" s="1" t="s">
        <v>10</v>
      </c>
      <c r="J422" s="1" t="s">
        <v>19</v>
      </c>
      <c r="K422" s="1" t="s">
        <v>18</v>
      </c>
    </row>
    <row r="423" spans="1:11" x14ac:dyDescent="0.25">
      <c r="A423" s="1" t="s">
        <v>1062</v>
      </c>
      <c r="B423" s="1" t="s">
        <v>1063</v>
      </c>
      <c r="C423" s="1" t="s">
        <v>1036</v>
      </c>
      <c r="D423" s="1" t="s">
        <v>1761</v>
      </c>
      <c r="E423" s="1" t="s">
        <v>913</v>
      </c>
      <c r="F423" s="1" t="s">
        <v>40</v>
      </c>
      <c r="G423" s="1" t="s">
        <v>40</v>
      </c>
      <c r="H423" s="1"/>
      <c r="I423" s="1" t="s">
        <v>10</v>
      </c>
      <c r="J423" s="1" t="s">
        <v>19</v>
      </c>
      <c r="K423" s="1" t="s">
        <v>18</v>
      </c>
    </row>
    <row r="424" spans="1:11" x14ac:dyDescent="0.25">
      <c r="A424" s="1" t="s">
        <v>1064</v>
      </c>
      <c r="B424" s="1" t="s">
        <v>1065</v>
      </c>
      <c r="C424" s="1" t="s">
        <v>989</v>
      </c>
      <c r="D424" s="1" t="s">
        <v>1803</v>
      </c>
      <c r="E424" s="1" t="s">
        <v>913</v>
      </c>
      <c r="F424" s="1" t="s">
        <v>40</v>
      </c>
      <c r="G424" s="1" t="s">
        <v>40</v>
      </c>
      <c r="H424" s="1"/>
      <c r="I424" s="1" t="s">
        <v>10</v>
      </c>
      <c r="J424" s="1" t="s">
        <v>19</v>
      </c>
      <c r="K424" s="1" t="s">
        <v>18</v>
      </c>
    </row>
    <row r="425" spans="1:11" x14ac:dyDescent="0.25">
      <c r="A425" s="1" t="s">
        <v>1066</v>
      </c>
      <c r="B425" s="1" t="s">
        <v>1067</v>
      </c>
      <c r="C425" s="1" t="s">
        <v>12</v>
      </c>
      <c r="D425" s="1" t="s">
        <v>1804</v>
      </c>
      <c r="E425" s="1" t="s">
        <v>913</v>
      </c>
      <c r="F425" s="1" t="s">
        <v>40</v>
      </c>
      <c r="G425" s="1" t="s">
        <v>40</v>
      </c>
      <c r="H425" s="1"/>
      <c r="I425" s="1" t="s">
        <v>10</v>
      </c>
      <c r="J425" s="1" t="s">
        <v>19</v>
      </c>
      <c r="K425" s="1" t="s">
        <v>18</v>
      </c>
    </row>
    <row r="426" spans="1:11" x14ac:dyDescent="0.25">
      <c r="A426" s="1" t="s">
        <v>1068</v>
      </c>
      <c r="B426" s="1" t="s">
        <v>1069</v>
      </c>
      <c r="C426" s="1" t="s">
        <v>1036</v>
      </c>
      <c r="D426" s="1" t="s">
        <v>1805</v>
      </c>
      <c r="E426" s="1" t="s">
        <v>913</v>
      </c>
      <c r="F426" s="1" t="s">
        <v>40</v>
      </c>
      <c r="G426" s="1" t="s">
        <v>40</v>
      </c>
      <c r="H426" s="1"/>
      <c r="I426" s="1" t="s">
        <v>10</v>
      </c>
      <c r="J426" s="1" t="s">
        <v>19</v>
      </c>
      <c r="K426" s="1" t="s">
        <v>18</v>
      </c>
    </row>
    <row r="427" spans="1:11" x14ac:dyDescent="0.25">
      <c r="A427" s="1" t="s">
        <v>1070</v>
      </c>
      <c r="B427" s="1" t="s">
        <v>1071</v>
      </c>
      <c r="C427" s="1" t="s">
        <v>1044</v>
      </c>
      <c r="D427" s="1" t="s">
        <v>1806</v>
      </c>
      <c r="E427" s="1" t="s">
        <v>913</v>
      </c>
      <c r="F427" s="1" t="s">
        <v>40</v>
      </c>
      <c r="G427" s="1" t="s">
        <v>40</v>
      </c>
      <c r="H427" s="1"/>
      <c r="I427" s="1" t="s">
        <v>10</v>
      </c>
      <c r="J427" s="1" t="s">
        <v>19</v>
      </c>
      <c r="K427" s="1" t="s">
        <v>18</v>
      </c>
    </row>
    <row r="428" spans="1:11" x14ac:dyDescent="0.25">
      <c r="A428" s="1" t="s">
        <v>1072</v>
      </c>
      <c r="B428" s="1" t="s">
        <v>1073</v>
      </c>
      <c r="C428" s="1" t="s">
        <v>1041</v>
      </c>
      <c r="D428" s="1" t="s">
        <v>1656</v>
      </c>
      <c r="E428" s="1" t="s">
        <v>913</v>
      </c>
      <c r="F428" s="1" t="s">
        <v>1074</v>
      </c>
      <c r="G428" s="1" t="s">
        <v>1074</v>
      </c>
      <c r="H428" s="1"/>
      <c r="I428" s="1" t="s">
        <v>10</v>
      </c>
      <c r="J428" s="1" t="s">
        <v>19</v>
      </c>
      <c r="K428" s="1" t="s">
        <v>18</v>
      </c>
    </row>
    <row r="429" spans="1:11" x14ac:dyDescent="0.25">
      <c r="A429" s="1" t="s">
        <v>1075</v>
      </c>
      <c r="B429" s="1" t="s">
        <v>1076</v>
      </c>
      <c r="C429" s="1" t="s">
        <v>1041</v>
      </c>
      <c r="D429" s="1" t="s">
        <v>1807</v>
      </c>
      <c r="E429" s="1" t="s">
        <v>913</v>
      </c>
      <c r="F429" s="1" t="s">
        <v>1074</v>
      </c>
      <c r="G429" s="1" t="s">
        <v>1074</v>
      </c>
      <c r="H429" s="1"/>
      <c r="I429" s="1" t="s">
        <v>10</v>
      </c>
      <c r="J429" s="1" t="s">
        <v>19</v>
      </c>
      <c r="K429" s="1" t="s">
        <v>18</v>
      </c>
    </row>
    <row r="430" spans="1:11" x14ac:dyDescent="0.25">
      <c r="A430" s="1" t="s">
        <v>1077</v>
      </c>
      <c r="B430" s="1" t="s">
        <v>1078</v>
      </c>
      <c r="C430" s="1" t="s">
        <v>1041</v>
      </c>
      <c r="D430" s="1" t="s">
        <v>1808</v>
      </c>
      <c r="E430" s="1" t="s">
        <v>913</v>
      </c>
      <c r="F430" s="1" t="s">
        <v>1074</v>
      </c>
      <c r="G430" s="1" t="s">
        <v>1074</v>
      </c>
      <c r="H430" s="1"/>
      <c r="I430" s="1" t="s">
        <v>10</v>
      </c>
      <c r="J430" s="1" t="s">
        <v>19</v>
      </c>
      <c r="K430" s="1" t="s">
        <v>18</v>
      </c>
    </row>
    <row r="431" spans="1:11" x14ac:dyDescent="0.25">
      <c r="A431" s="1" t="s">
        <v>1079</v>
      </c>
      <c r="B431" s="1" t="s">
        <v>1080</v>
      </c>
      <c r="C431" s="1" t="s">
        <v>415</v>
      </c>
      <c r="D431" s="1" t="s">
        <v>559</v>
      </c>
      <c r="E431" s="1" t="s">
        <v>913</v>
      </c>
      <c r="F431" s="1" t="s">
        <v>1074</v>
      </c>
      <c r="G431" s="1" t="s">
        <v>1074</v>
      </c>
      <c r="H431" s="1"/>
      <c r="I431" s="1" t="s">
        <v>10</v>
      </c>
      <c r="J431" s="1" t="s">
        <v>19</v>
      </c>
      <c r="K431" s="1" t="s">
        <v>18</v>
      </c>
    </row>
    <row r="432" spans="1:11" x14ac:dyDescent="0.25">
      <c r="A432" s="1" t="s">
        <v>1081</v>
      </c>
      <c r="B432" s="1" t="s">
        <v>1082</v>
      </c>
      <c r="C432" s="1" t="s">
        <v>1041</v>
      </c>
      <c r="D432" s="1" t="s">
        <v>1809</v>
      </c>
      <c r="E432" s="1" t="s">
        <v>913</v>
      </c>
      <c r="F432" s="1" t="s">
        <v>1074</v>
      </c>
      <c r="G432" s="1" t="s">
        <v>1074</v>
      </c>
      <c r="H432" s="1"/>
      <c r="I432" s="1" t="s">
        <v>10</v>
      </c>
      <c r="J432" s="1" t="s">
        <v>19</v>
      </c>
      <c r="K432" s="1" t="s">
        <v>18</v>
      </c>
    </row>
    <row r="433" spans="1:11" x14ac:dyDescent="0.25">
      <c r="A433" s="1" t="s">
        <v>1083</v>
      </c>
      <c r="B433" s="1" t="s">
        <v>1084</v>
      </c>
      <c r="C433" s="1" t="s">
        <v>1041</v>
      </c>
      <c r="D433" s="1" t="s">
        <v>1810</v>
      </c>
      <c r="E433" s="1" t="s">
        <v>913</v>
      </c>
      <c r="F433" s="1" t="s">
        <v>1074</v>
      </c>
      <c r="G433" s="1" t="s">
        <v>1074</v>
      </c>
      <c r="H433" s="1"/>
      <c r="I433" s="1" t="s">
        <v>10</v>
      </c>
      <c r="J433" s="1" t="s">
        <v>19</v>
      </c>
      <c r="K433" s="1" t="s">
        <v>18</v>
      </c>
    </row>
    <row r="434" spans="1:11" x14ac:dyDescent="0.25">
      <c r="A434" s="1" t="s">
        <v>1085</v>
      </c>
      <c r="B434" s="1" t="s">
        <v>1086</v>
      </c>
      <c r="C434" s="1" t="s">
        <v>1041</v>
      </c>
      <c r="D434" s="1" t="s">
        <v>1425</v>
      </c>
      <c r="E434" s="1" t="s">
        <v>913</v>
      </c>
      <c r="F434" s="1" t="s">
        <v>1074</v>
      </c>
      <c r="G434" s="1" t="s">
        <v>1074</v>
      </c>
      <c r="H434" s="1"/>
      <c r="I434" s="1" t="s">
        <v>10</v>
      </c>
      <c r="J434" s="1" t="s">
        <v>19</v>
      </c>
      <c r="K434" s="1" t="s">
        <v>18</v>
      </c>
    </row>
    <row r="435" spans="1:11" x14ac:dyDescent="0.25">
      <c r="A435" s="1" t="s">
        <v>1088</v>
      </c>
      <c r="B435" s="1" t="s">
        <v>1089</v>
      </c>
      <c r="C435" s="1" t="s">
        <v>1041</v>
      </c>
      <c r="D435" s="1" t="s">
        <v>1811</v>
      </c>
      <c r="E435" s="1" t="s">
        <v>913</v>
      </c>
      <c r="F435" s="1" t="s">
        <v>1074</v>
      </c>
      <c r="G435" s="1" t="s">
        <v>1074</v>
      </c>
      <c r="H435" s="1"/>
      <c r="I435" s="1" t="s">
        <v>10</v>
      </c>
      <c r="J435" s="1" t="s">
        <v>19</v>
      </c>
      <c r="K435" s="1" t="s">
        <v>18</v>
      </c>
    </row>
    <row r="436" spans="1:11" x14ac:dyDescent="0.25">
      <c r="A436" s="1" t="s">
        <v>1090</v>
      </c>
      <c r="B436" s="1" t="s">
        <v>1091</v>
      </c>
      <c r="C436" s="1" t="s">
        <v>1041</v>
      </c>
      <c r="D436" s="1" t="s">
        <v>1812</v>
      </c>
      <c r="E436" s="1" t="s">
        <v>913</v>
      </c>
      <c r="F436" s="1" t="s">
        <v>1074</v>
      </c>
      <c r="G436" s="1" t="s">
        <v>1074</v>
      </c>
      <c r="H436" s="1"/>
      <c r="I436" s="1" t="s">
        <v>10</v>
      </c>
      <c r="J436" s="1" t="s">
        <v>19</v>
      </c>
      <c r="K436" s="1" t="s">
        <v>18</v>
      </c>
    </row>
    <row r="437" spans="1:11" x14ac:dyDescent="0.25">
      <c r="A437" s="1" t="s">
        <v>1092</v>
      </c>
      <c r="B437" s="1" t="s">
        <v>1093</v>
      </c>
      <c r="C437" s="1" t="s">
        <v>1041</v>
      </c>
      <c r="D437" s="1" t="s">
        <v>1813</v>
      </c>
      <c r="E437" s="1" t="s">
        <v>913</v>
      </c>
      <c r="F437" s="1" t="s">
        <v>1074</v>
      </c>
      <c r="G437" s="1" t="s">
        <v>1074</v>
      </c>
      <c r="H437" s="1"/>
      <c r="I437" s="1" t="s">
        <v>10</v>
      </c>
      <c r="J437" s="1" t="s">
        <v>19</v>
      </c>
      <c r="K437" s="1" t="s">
        <v>18</v>
      </c>
    </row>
    <row r="438" spans="1:11" x14ac:dyDescent="0.25">
      <c r="A438" s="1" t="s">
        <v>1094</v>
      </c>
      <c r="B438" s="1" t="s">
        <v>1095</v>
      </c>
      <c r="C438" s="1" t="s">
        <v>415</v>
      </c>
      <c r="D438" s="1" t="s">
        <v>1814</v>
      </c>
      <c r="E438" s="1" t="s">
        <v>913</v>
      </c>
      <c r="F438" s="1" t="s">
        <v>1074</v>
      </c>
      <c r="G438" s="1" t="s">
        <v>1074</v>
      </c>
      <c r="H438" s="1"/>
      <c r="I438" s="1" t="s">
        <v>10</v>
      </c>
      <c r="J438" s="1" t="s">
        <v>19</v>
      </c>
      <c r="K438" s="1" t="s">
        <v>18</v>
      </c>
    </row>
    <row r="439" spans="1:11" x14ac:dyDescent="0.25">
      <c r="A439" s="1" t="s">
        <v>1096</v>
      </c>
      <c r="B439" s="1" t="s">
        <v>1097</v>
      </c>
      <c r="C439" s="1" t="s">
        <v>415</v>
      </c>
      <c r="D439" s="1" t="s">
        <v>1815</v>
      </c>
      <c r="E439" s="1" t="s">
        <v>913</v>
      </c>
      <c r="F439" s="1" t="s">
        <v>1074</v>
      </c>
      <c r="G439" s="1" t="s">
        <v>1074</v>
      </c>
      <c r="H439" s="1"/>
      <c r="I439" s="1" t="s">
        <v>10</v>
      </c>
      <c r="J439" s="1" t="s">
        <v>19</v>
      </c>
      <c r="K439" s="1" t="s">
        <v>18</v>
      </c>
    </row>
    <row r="440" spans="1:11" x14ac:dyDescent="0.25">
      <c r="A440" s="1" t="s">
        <v>1098</v>
      </c>
      <c r="B440" s="1" t="s">
        <v>1099</v>
      </c>
      <c r="C440" s="1" t="s">
        <v>1041</v>
      </c>
      <c r="D440" s="1" t="s">
        <v>1816</v>
      </c>
      <c r="E440" s="1" t="s">
        <v>913</v>
      </c>
      <c r="F440" s="1" t="s">
        <v>1074</v>
      </c>
      <c r="G440" s="1" t="s">
        <v>1074</v>
      </c>
      <c r="H440" s="1"/>
      <c r="I440" s="1" t="s">
        <v>10</v>
      </c>
      <c r="J440" s="1" t="s">
        <v>19</v>
      </c>
      <c r="K440" s="1" t="s">
        <v>18</v>
      </c>
    </row>
    <row r="441" spans="1:11" x14ac:dyDescent="0.25">
      <c r="A441" s="1" t="s">
        <v>1100</v>
      </c>
      <c r="B441" s="1" t="s">
        <v>1101</v>
      </c>
      <c r="C441" s="1" t="s">
        <v>43</v>
      </c>
      <c r="D441" s="1" t="s">
        <v>1638</v>
      </c>
      <c r="E441" s="1" t="s">
        <v>760</v>
      </c>
      <c r="F441" s="1" t="s">
        <v>1102</v>
      </c>
      <c r="G441" s="1" t="s">
        <v>1102</v>
      </c>
      <c r="H441" s="1"/>
      <c r="I441" s="1" t="s">
        <v>10</v>
      </c>
      <c r="J441" s="1" t="s">
        <v>19</v>
      </c>
      <c r="K441" s="1" t="s">
        <v>18</v>
      </c>
    </row>
    <row r="442" spans="1:11" x14ac:dyDescent="0.25">
      <c r="A442" s="1" t="s">
        <v>1103</v>
      </c>
      <c r="B442" s="1" t="s">
        <v>1104</v>
      </c>
      <c r="C442" s="1" t="s">
        <v>146</v>
      </c>
      <c r="D442" s="1" t="s">
        <v>1817</v>
      </c>
      <c r="E442" s="1" t="s">
        <v>760</v>
      </c>
      <c r="F442" s="1" t="s">
        <v>40</v>
      </c>
      <c r="G442" s="1" t="s">
        <v>40</v>
      </c>
      <c r="H442" s="1"/>
      <c r="I442" s="1" t="s">
        <v>10</v>
      </c>
      <c r="J442" s="1" t="s">
        <v>19</v>
      </c>
      <c r="K442" s="1" t="s">
        <v>18</v>
      </c>
    </row>
    <row r="443" spans="1:11" x14ac:dyDescent="0.25">
      <c r="A443" s="1" t="s">
        <v>1105</v>
      </c>
      <c r="B443" s="1" t="s">
        <v>1106</v>
      </c>
      <c r="C443" s="1" t="s">
        <v>156</v>
      </c>
      <c r="D443" s="1" t="s">
        <v>1676</v>
      </c>
      <c r="E443" s="1" t="s">
        <v>760</v>
      </c>
      <c r="F443" s="1" t="s">
        <v>40</v>
      </c>
      <c r="G443" s="1" t="s">
        <v>40</v>
      </c>
      <c r="H443" s="1"/>
      <c r="I443" s="1" t="s">
        <v>10</v>
      </c>
      <c r="J443" s="1" t="s">
        <v>19</v>
      </c>
      <c r="K443" s="1" t="s">
        <v>18</v>
      </c>
    </row>
    <row r="444" spans="1:11" x14ac:dyDescent="0.25">
      <c r="A444" s="1" t="s">
        <v>1107</v>
      </c>
      <c r="B444" s="1" t="s">
        <v>1108</v>
      </c>
      <c r="C444" s="1" t="s">
        <v>974</v>
      </c>
      <c r="D444" s="1" t="s">
        <v>1676</v>
      </c>
      <c r="E444" s="1" t="s">
        <v>760</v>
      </c>
      <c r="F444" s="1" t="s">
        <v>1102</v>
      </c>
      <c r="G444" s="1" t="s">
        <v>1102</v>
      </c>
      <c r="H444" s="1"/>
      <c r="I444" s="1" t="s">
        <v>10</v>
      </c>
      <c r="J444" s="1" t="s">
        <v>19</v>
      </c>
      <c r="K444" s="1" t="s">
        <v>18</v>
      </c>
    </row>
    <row r="445" spans="1:11" x14ac:dyDescent="0.25">
      <c r="A445" s="1" t="s">
        <v>1109</v>
      </c>
      <c r="B445" s="1" t="s">
        <v>1110</v>
      </c>
      <c r="C445" s="1" t="s">
        <v>146</v>
      </c>
      <c r="D445" s="1" t="s">
        <v>1818</v>
      </c>
      <c r="E445" s="1" t="s">
        <v>760</v>
      </c>
      <c r="F445" s="1" t="s">
        <v>1111</v>
      </c>
      <c r="G445" s="1" t="s">
        <v>1111</v>
      </c>
      <c r="H445" s="1"/>
      <c r="I445" s="1" t="s">
        <v>10</v>
      </c>
      <c r="J445" s="1" t="s">
        <v>19</v>
      </c>
      <c r="K445" s="1" t="s">
        <v>18</v>
      </c>
    </row>
    <row r="446" spans="1:11" x14ac:dyDescent="0.25">
      <c r="A446" s="1" t="s">
        <v>1112</v>
      </c>
      <c r="B446" s="1" t="s">
        <v>1113</v>
      </c>
      <c r="C446" s="1" t="s">
        <v>149</v>
      </c>
      <c r="D446" s="1" t="s">
        <v>1819</v>
      </c>
      <c r="E446" s="1" t="s">
        <v>760</v>
      </c>
      <c r="F446" s="1" t="s">
        <v>1111</v>
      </c>
      <c r="G446" s="1" t="s">
        <v>1111</v>
      </c>
      <c r="H446" s="1"/>
      <c r="I446" s="1" t="s">
        <v>10</v>
      </c>
      <c r="J446" s="1" t="s">
        <v>19</v>
      </c>
      <c r="K446" s="1" t="s">
        <v>18</v>
      </c>
    </row>
    <row r="447" spans="1:11" x14ac:dyDescent="0.25">
      <c r="A447" s="1" t="s">
        <v>1114</v>
      </c>
      <c r="B447" s="1" t="s">
        <v>1115</v>
      </c>
      <c r="C447" s="1" t="s">
        <v>817</v>
      </c>
      <c r="D447" s="1" t="s">
        <v>1820</v>
      </c>
      <c r="E447" s="1" t="s">
        <v>760</v>
      </c>
      <c r="F447" s="1" t="s">
        <v>1111</v>
      </c>
      <c r="G447" s="1" t="s">
        <v>1111</v>
      </c>
      <c r="H447" s="1"/>
      <c r="I447" s="1" t="s">
        <v>10</v>
      </c>
      <c r="J447" s="1" t="s">
        <v>19</v>
      </c>
      <c r="K447" s="1" t="s">
        <v>18</v>
      </c>
    </row>
    <row r="448" spans="1:11" x14ac:dyDescent="0.25">
      <c r="A448" s="1" t="s">
        <v>1116</v>
      </c>
      <c r="B448" s="1" t="s">
        <v>1117</v>
      </c>
      <c r="C448" s="1" t="s">
        <v>156</v>
      </c>
      <c r="D448" s="1" t="s">
        <v>1746</v>
      </c>
      <c r="E448" s="1" t="s">
        <v>760</v>
      </c>
      <c r="F448" s="1" t="s">
        <v>40</v>
      </c>
      <c r="G448" s="1" t="s">
        <v>40</v>
      </c>
      <c r="H448" s="1"/>
      <c r="I448" s="1" t="s">
        <v>10</v>
      </c>
      <c r="J448" s="1" t="s">
        <v>19</v>
      </c>
      <c r="K448" s="1" t="s">
        <v>18</v>
      </c>
    </row>
    <row r="449" spans="1:11" x14ac:dyDescent="0.25">
      <c r="A449" s="1" t="s">
        <v>1118</v>
      </c>
      <c r="B449" s="1" t="s">
        <v>1119</v>
      </c>
      <c r="C449" s="1" t="s">
        <v>817</v>
      </c>
      <c r="D449" s="1" t="s">
        <v>1821</v>
      </c>
      <c r="E449" s="1" t="s">
        <v>760</v>
      </c>
      <c r="F449" s="1" t="s">
        <v>40</v>
      </c>
      <c r="G449" s="1" t="s">
        <v>40</v>
      </c>
      <c r="H449" s="1"/>
      <c r="I449" s="1" t="s">
        <v>10</v>
      </c>
      <c r="J449" s="1" t="s">
        <v>19</v>
      </c>
      <c r="K449" s="1" t="s">
        <v>18</v>
      </c>
    </row>
    <row r="450" spans="1:11" x14ac:dyDescent="0.25">
      <c r="A450" s="1" t="s">
        <v>1120</v>
      </c>
      <c r="B450" s="1" t="s">
        <v>1121</v>
      </c>
      <c r="C450" s="1" t="s">
        <v>146</v>
      </c>
      <c r="D450" s="1" t="s">
        <v>1822</v>
      </c>
      <c r="E450" s="1" t="s">
        <v>760</v>
      </c>
      <c r="F450" s="1" t="s">
        <v>40</v>
      </c>
      <c r="G450" s="1" t="s">
        <v>40</v>
      </c>
      <c r="H450" s="1"/>
      <c r="I450" s="1" t="s">
        <v>10</v>
      </c>
      <c r="J450" s="1" t="s">
        <v>19</v>
      </c>
      <c r="K450" s="1" t="s">
        <v>18</v>
      </c>
    </row>
    <row r="451" spans="1:11" x14ac:dyDescent="0.25">
      <c r="A451" s="1" t="s">
        <v>1122</v>
      </c>
      <c r="B451" s="1" t="s">
        <v>1123</v>
      </c>
      <c r="C451" s="1" t="s">
        <v>817</v>
      </c>
      <c r="D451" s="1" t="s">
        <v>1823</v>
      </c>
      <c r="E451" s="1" t="s">
        <v>760</v>
      </c>
      <c r="F451" s="1" t="s">
        <v>40</v>
      </c>
      <c r="G451" s="1" t="s">
        <v>40</v>
      </c>
      <c r="H451" s="1"/>
      <c r="I451" s="1" t="s">
        <v>10</v>
      </c>
      <c r="J451" s="1" t="s">
        <v>19</v>
      </c>
      <c r="K451" s="1" t="s">
        <v>18</v>
      </c>
    </row>
    <row r="452" spans="1:11" x14ac:dyDescent="0.25">
      <c r="A452" s="1" t="s">
        <v>1124</v>
      </c>
      <c r="B452" s="1" t="s">
        <v>1125</v>
      </c>
      <c r="C452" s="1" t="s">
        <v>156</v>
      </c>
      <c r="D452" s="1" t="s">
        <v>1540</v>
      </c>
      <c r="E452" s="1" t="s">
        <v>760</v>
      </c>
      <c r="F452" s="1" t="s">
        <v>40</v>
      </c>
      <c r="G452" s="1" t="s">
        <v>40</v>
      </c>
      <c r="H452" s="1"/>
      <c r="I452" s="1" t="s">
        <v>10</v>
      </c>
      <c r="J452" s="1" t="s">
        <v>19</v>
      </c>
      <c r="K452" s="1" t="s">
        <v>18</v>
      </c>
    </row>
    <row r="453" spans="1:11" x14ac:dyDescent="0.25">
      <c r="A453" s="1" t="s">
        <v>1126</v>
      </c>
      <c r="B453" s="1" t="s">
        <v>1127</v>
      </c>
      <c r="C453" s="1" t="s">
        <v>1824</v>
      </c>
      <c r="D453" s="1" t="s">
        <v>1562</v>
      </c>
      <c r="E453" s="1" t="s">
        <v>760</v>
      </c>
      <c r="F453" s="1" t="s">
        <v>40</v>
      </c>
      <c r="G453" s="1" t="s">
        <v>40</v>
      </c>
      <c r="H453" s="1"/>
      <c r="I453" s="1" t="s">
        <v>10</v>
      </c>
      <c r="J453" s="1" t="s">
        <v>19</v>
      </c>
      <c r="K453" s="1" t="s">
        <v>18</v>
      </c>
    </row>
    <row r="454" spans="1:11" x14ac:dyDescent="0.25">
      <c r="A454" s="1" t="s">
        <v>1128</v>
      </c>
      <c r="B454" s="1" t="s">
        <v>1129</v>
      </c>
      <c r="C454" s="1" t="s">
        <v>974</v>
      </c>
      <c r="D454" s="1" t="s">
        <v>1750</v>
      </c>
      <c r="E454" s="1" t="s">
        <v>760</v>
      </c>
      <c r="F454" s="1" t="s">
        <v>1111</v>
      </c>
      <c r="G454" s="1" t="s">
        <v>1111</v>
      </c>
      <c r="H454" s="1"/>
      <c r="I454" s="1" t="s">
        <v>10</v>
      </c>
      <c r="J454" s="1" t="s">
        <v>19</v>
      </c>
      <c r="K454" s="1" t="s">
        <v>18</v>
      </c>
    </row>
    <row r="455" spans="1:11" x14ac:dyDescent="0.25">
      <c r="A455" s="1" t="s">
        <v>1130</v>
      </c>
      <c r="B455" s="1" t="s">
        <v>1131</v>
      </c>
      <c r="C455" s="1" t="s">
        <v>146</v>
      </c>
      <c r="D455" s="1" t="s">
        <v>1783</v>
      </c>
      <c r="E455" s="1" t="s">
        <v>760</v>
      </c>
      <c r="F455" s="1" t="s">
        <v>1111</v>
      </c>
      <c r="G455" s="1" t="s">
        <v>1111</v>
      </c>
      <c r="H455" s="1"/>
      <c r="I455" s="1" t="s">
        <v>10</v>
      </c>
      <c r="J455" s="1" t="s">
        <v>19</v>
      </c>
      <c r="K455" s="1" t="s">
        <v>18</v>
      </c>
    </row>
    <row r="456" spans="1:11" x14ac:dyDescent="0.25">
      <c r="A456" s="1" t="s">
        <v>1132</v>
      </c>
      <c r="B456" s="1" t="s">
        <v>1133</v>
      </c>
      <c r="C456" s="1" t="s">
        <v>146</v>
      </c>
      <c r="D456" s="1" t="s">
        <v>1825</v>
      </c>
      <c r="E456" s="1" t="s">
        <v>760</v>
      </c>
      <c r="F456" s="1" t="s">
        <v>1111</v>
      </c>
      <c r="G456" s="1" t="s">
        <v>1111</v>
      </c>
      <c r="H456" s="1"/>
      <c r="I456" s="1" t="s">
        <v>10</v>
      </c>
      <c r="J456" s="1" t="s">
        <v>19</v>
      </c>
      <c r="K456" s="1" t="s">
        <v>18</v>
      </c>
    </row>
    <row r="457" spans="1:11" x14ac:dyDescent="0.25">
      <c r="A457" s="1" t="s">
        <v>1134</v>
      </c>
      <c r="B457" s="1" t="s">
        <v>1135</v>
      </c>
      <c r="C457" s="1" t="s">
        <v>974</v>
      </c>
      <c r="D457" s="1" t="s">
        <v>1737</v>
      </c>
      <c r="E457" s="1" t="s">
        <v>760</v>
      </c>
      <c r="F457" s="1" t="s">
        <v>1136</v>
      </c>
      <c r="G457" s="1" t="s">
        <v>1136</v>
      </c>
      <c r="H457" s="1"/>
      <c r="I457" s="1"/>
      <c r="J457" s="1" t="s">
        <v>19</v>
      </c>
      <c r="K457" s="1" t="s">
        <v>18</v>
      </c>
    </row>
    <row r="458" spans="1:11" x14ac:dyDescent="0.25">
      <c r="A458" s="1" t="s">
        <v>1137</v>
      </c>
      <c r="B458" s="1" t="s">
        <v>1138</v>
      </c>
      <c r="C458" s="1" t="s">
        <v>817</v>
      </c>
      <c r="D458" s="1" t="s">
        <v>1139</v>
      </c>
      <c r="E458" s="1" t="s">
        <v>760</v>
      </c>
      <c r="F458" s="1" t="s">
        <v>1136</v>
      </c>
      <c r="G458" s="1" t="s">
        <v>1136</v>
      </c>
      <c r="H458" s="1"/>
      <c r="I458" s="1"/>
      <c r="J458" s="1" t="s">
        <v>19</v>
      </c>
      <c r="K458" s="1" t="s">
        <v>18</v>
      </c>
    </row>
    <row r="459" spans="1:11" x14ac:dyDescent="0.25">
      <c r="A459" s="1" t="s">
        <v>1140</v>
      </c>
      <c r="B459" s="1" t="s">
        <v>1141</v>
      </c>
      <c r="C459" s="1" t="s">
        <v>817</v>
      </c>
      <c r="D459" s="1" t="s">
        <v>1142</v>
      </c>
      <c r="E459" s="1" t="s">
        <v>760</v>
      </c>
      <c r="F459" s="1" t="s">
        <v>1143</v>
      </c>
      <c r="G459" s="1" t="s">
        <v>1143</v>
      </c>
      <c r="H459" s="1"/>
      <c r="I459" s="1"/>
      <c r="J459" s="1" t="s">
        <v>19</v>
      </c>
      <c r="K459" s="1" t="s">
        <v>18</v>
      </c>
    </row>
    <row r="460" spans="1:11" x14ac:dyDescent="0.25">
      <c r="A460" s="1" t="s">
        <v>1144</v>
      </c>
      <c r="B460" s="1" t="s">
        <v>1145</v>
      </c>
      <c r="C460" s="1" t="s">
        <v>817</v>
      </c>
      <c r="D460" s="1" t="s">
        <v>1774</v>
      </c>
      <c r="E460" s="1" t="s">
        <v>760</v>
      </c>
      <c r="F460" s="1" t="s">
        <v>1136</v>
      </c>
      <c r="G460" s="1" t="s">
        <v>1136</v>
      </c>
      <c r="H460" s="1"/>
      <c r="I460" s="1"/>
      <c r="J460" s="1" t="s">
        <v>19</v>
      </c>
      <c r="K460" s="1" t="s">
        <v>51</v>
      </c>
    </row>
    <row r="461" spans="1:11" x14ac:dyDescent="0.25">
      <c r="A461" s="1" t="s">
        <v>1146</v>
      </c>
      <c r="B461" s="1" t="s">
        <v>1147</v>
      </c>
      <c r="C461" s="1" t="s">
        <v>974</v>
      </c>
      <c r="D461" s="1" t="s">
        <v>1148</v>
      </c>
      <c r="E461" s="1" t="s">
        <v>760</v>
      </c>
      <c r="F461" s="1" t="s">
        <v>1136</v>
      </c>
      <c r="G461" s="1" t="s">
        <v>1136</v>
      </c>
      <c r="H461" s="1"/>
      <c r="I461" s="1"/>
      <c r="J461" s="1" t="s">
        <v>19</v>
      </c>
      <c r="K461" s="1" t="s">
        <v>51</v>
      </c>
    </row>
    <row r="462" spans="1:11" x14ac:dyDescent="0.25">
      <c r="A462" s="1" t="s">
        <v>1149</v>
      </c>
      <c r="B462" s="1" t="s">
        <v>1150</v>
      </c>
      <c r="C462" s="1" t="s">
        <v>817</v>
      </c>
      <c r="D462" s="1" t="s">
        <v>1826</v>
      </c>
      <c r="E462" s="1" t="s">
        <v>760</v>
      </c>
      <c r="F462" s="1" t="s">
        <v>1143</v>
      </c>
      <c r="G462" s="1" t="s">
        <v>1143</v>
      </c>
      <c r="H462" s="1"/>
      <c r="I462" s="1"/>
      <c r="J462" s="1" t="s">
        <v>19</v>
      </c>
      <c r="K462" s="1" t="s">
        <v>18</v>
      </c>
    </row>
    <row r="463" spans="1:11" x14ac:dyDescent="0.25">
      <c r="A463" s="1" t="s">
        <v>1151</v>
      </c>
      <c r="B463" s="1" t="s">
        <v>1152</v>
      </c>
      <c r="C463" s="1" t="s">
        <v>817</v>
      </c>
      <c r="D463" s="1" t="s">
        <v>1827</v>
      </c>
      <c r="E463" s="1" t="s">
        <v>760</v>
      </c>
      <c r="F463" s="1" t="s">
        <v>1143</v>
      </c>
      <c r="G463" s="1" t="s">
        <v>1143</v>
      </c>
      <c r="H463" s="1"/>
      <c r="I463" s="1"/>
      <c r="J463" s="1" t="s">
        <v>19</v>
      </c>
      <c r="K463" s="1" t="s">
        <v>18</v>
      </c>
    </row>
    <row r="464" spans="1:11" x14ac:dyDescent="0.25">
      <c r="A464" s="1" t="s">
        <v>1153</v>
      </c>
      <c r="B464" s="1" t="s">
        <v>1154</v>
      </c>
      <c r="C464" s="1" t="s">
        <v>817</v>
      </c>
      <c r="D464" s="1" t="s">
        <v>1828</v>
      </c>
      <c r="E464" s="1" t="s">
        <v>760</v>
      </c>
      <c r="F464" s="1" t="s">
        <v>40</v>
      </c>
      <c r="G464" s="1" t="s">
        <v>40</v>
      </c>
      <c r="H464" s="1"/>
      <c r="I464" s="1"/>
      <c r="J464" s="1" t="s">
        <v>19</v>
      </c>
      <c r="K464" s="1" t="s">
        <v>18</v>
      </c>
    </row>
    <row r="465" spans="1:11" x14ac:dyDescent="0.25">
      <c r="A465" s="1" t="s">
        <v>1155</v>
      </c>
      <c r="B465" s="1" t="s">
        <v>1156</v>
      </c>
      <c r="C465" s="1" t="s">
        <v>817</v>
      </c>
      <c r="D465" s="1" t="s">
        <v>1829</v>
      </c>
      <c r="E465" s="1" t="s">
        <v>760</v>
      </c>
      <c r="F465" s="1" t="s">
        <v>40</v>
      </c>
      <c r="G465" s="1" t="s">
        <v>40</v>
      </c>
      <c r="H465" s="1"/>
      <c r="I465" s="1"/>
      <c r="J465" s="1" t="s">
        <v>19</v>
      </c>
      <c r="K465" s="1" t="s">
        <v>18</v>
      </c>
    </row>
    <row r="466" spans="1:11" x14ac:dyDescent="0.25">
      <c r="A466" s="1" t="s">
        <v>1157</v>
      </c>
      <c r="B466" s="1" t="s">
        <v>1158</v>
      </c>
      <c r="C466" s="1" t="s">
        <v>817</v>
      </c>
      <c r="D466" s="1" t="s">
        <v>1830</v>
      </c>
      <c r="E466" s="1" t="s">
        <v>760</v>
      </c>
      <c r="F466" s="1" t="s">
        <v>1143</v>
      </c>
      <c r="G466" s="1" t="s">
        <v>1143</v>
      </c>
      <c r="H466" s="1"/>
      <c r="I466" s="1"/>
      <c r="J466" s="1" t="s">
        <v>19</v>
      </c>
      <c r="K466" s="1" t="s">
        <v>18</v>
      </c>
    </row>
    <row r="467" spans="1:11" x14ac:dyDescent="0.25">
      <c r="A467" s="1" t="s">
        <v>1159</v>
      </c>
      <c r="B467" s="1" t="s">
        <v>1160</v>
      </c>
      <c r="C467" s="1" t="s">
        <v>817</v>
      </c>
      <c r="D467" s="1" t="s">
        <v>1831</v>
      </c>
      <c r="E467" s="1" t="s">
        <v>760</v>
      </c>
      <c r="F467" s="1" t="s">
        <v>1143</v>
      </c>
      <c r="G467" s="1" t="s">
        <v>1143</v>
      </c>
      <c r="H467" s="1"/>
      <c r="I467" s="1"/>
      <c r="J467" s="1" t="s">
        <v>19</v>
      </c>
      <c r="K467" s="1" t="s">
        <v>18</v>
      </c>
    </row>
    <row r="468" spans="1:11" x14ac:dyDescent="0.25">
      <c r="A468" s="1" t="s">
        <v>1161</v>
      </c>
      <c r="B468" s="1" t="s">
        <v>1162</v>
      </c>
      <c r="C468" s="1" t="s">
        <v>817</v>
      </c>
      <c r="D468" s="1" t="s">
        <v>1163</v>
      </c>
      <c r="E468" s="1" t="s">
        <v>760</v>
      </c>
      <c r="F468" s="1" t="s">
        <v>1143</v>
      </c>
      <c r="G468" s="1" t="s">
        <v>1143</v>
      </c>
      <c r="H468" s="1"/>
      <c r="I468" s="1"/>
      <c r="J468" s="1" t="s">
        <v>19</v>
      </c>
      <c r="K468" s="1" t="s">
        <v>18</v>
      </c>
    </row>
    <row r="469" spans="1:11" x14ac:dyDescent="0.25">
      <c r="A469" s="1" t="s">
        <v>1164</v>
      </c>
      <c r="B469" s="1" t="s">
        <v>1165</v>
      </c>
      <c r="C469" s="1" t="s">
        <v>817</v>
      </c>
      <c r="D469" s="1" t="s">
        <v>1832</v>
      </c>
      <c r="E469" s="1" t="s">
        <v>760</v>
      </c>
      <c r="F469" s="1" t="s">
        <v>1143</v>
      </c>
      <c r="G469" s="1" t="s">
        <v>1143</v>
      </c>
      <c r="H469" s="1"/>
      <c r="I469" s="1"/>
      <c r="J469" s="1" t="s">
        <v>19</v>
      </c>
      <c r="K469" s="1" t="s">
        <v>18</v>
      </c>
    </row>
    <row r="470" spans="1:11" x14ac:dyDescent="0.25">
      <c r="A470" s="1" t="s">
        <v>1166</v>
      </c>
      <c r="B470" s="1" t="s">
        <v>1167</v>
      </c>
      <c r="C470" s="1" t="s">
        <v>817</v>
      </c>
      <c r="D470" s="1" t="s">
        <v>1833</v>
      </c>
      <c r="E470" s="1" t="s">
        <v>760</v>
      </c>
      <c r="F470" s="1" t="s">
        <v>1143</v>
      </c>
      <c r="G470" s="1" t="s">
        <v>1143</v>
      </c>
      <c r="H470" s="1"/>
      <c r="I470" s="1"/>
      <c r="J470" s="1" t="s">
        <v>19</v>
      </c>
      <c r="K470" s="1" t="s">
        <v>18</v>
      </c>
    </row>
    <row r="471" spans="1:11" x14ac:dyDescent="0.25">
      <c r="A471" s="1" t="s">
        <v>1168</v>
      </c>
      <c r="B471" s="1" t="s">
        <v>1169</v>
      </c>
      <c r="C471" s="1" t="s">
        <v>817</v>
      </c>
      <c r="D471" s="1" t="s">
        <v>1834</v>
      </c>
      <c r="E471" s="1" t="s">
        <v>760</v>
      </c>
      <c r="F471" s="1" t="s">
        <v>1143</v>
      </c>
      <c r="G471" s="1" t="s">
        <v>1143</v>
      </c>
      <c r="H471" s="1"/>
      <c r="I471" s="1"/>
      <c r="J471" s="1" t="s">
        <v>19</v>
      </c>
      <c r="K471" s="1" t="s">
        <v>18</v>
      </c>
    </row>
    <row r="472" spans="1:11" x14ac:dyDescent="0.25">
      <c r="A472" s="1" t="s">
        <v>1170</v>
      </c>
      <c r="B472" s="1" t="s">
        <v>1171</v>
      </c>
      <c r="C472" s="1" t="s">
        <v>817</v>
      </c>
      <c r="D472" s="1" t="s">
        <v>1835</v>
      </c>
      <c r="E472" s="1" t="s">
        <v>760</v>
      </c>
      <c r="F472" s="1" t="s">
        <v>1143</v>
      </c>
      <c r="G472" s="1" t="s">
        <v>1143</v>
      </c>
      <c r="H472" s="1"/>
      <c r="I472" s="1"/>
      <c r="J472" s="1" t="s">
        <v>19</v>
      </c>
      <c r="K472" s="1" t="s">
        <v>18</v>
      </c>
    </row>
    <row r="473" spans="1:11" x14ac:dyDescent="0.25">
      <c r="A473" s="1" t="s">
        <v>1172</v>
      </c>
      <c r="B473" s="1" t="s">
        <v>1173</v>
      </c>
      <c r="C473" s="1" t="s">
        <v>817</v>
      </c>
      <c r="D473" s="1" t="s">
        <v>1836</v>
      </c>
      <c r="E473" s="1" t="s">
        <v>760</v>
      </c>
      <c r="F473" s="1" t="s">
        <v>40</v>
      </c>
      <c r="G473" s="1" t="s">
        <v>40</v>
      </c>
      <c r="H473" s="1"/>
      <c r="I473" s="1"/>
      <c r="J473" s="1" t="s">
        <v>19</v>
      </c>
      <c r="K473" s="1" t="s">
        <v>18</v>
      </c>
    </row>
    <row r="474" spans="1:11" x14ac:dyDescent="0.25">
      <c r="A474" s="1" t="s">
        <v>1174</v>
      </c>
      <c r="B474" s="1" t="s">
        <v>1175</v>
      </c>
      <c r="C474" s="1" t="s">
        <v>817</v>
      </c>
      <c r="D474" s="1" t="s">
        <v>1176</v>
      </c>
      <c r="E474" s="1" t="s">
        <v>760</v>
      </c>
      <c r="F474" s="1" t="s">
        <v>1136</v>
      </c>
      <c r="G474" s="1" t="s">
        <v>1136</v>
      </c>
      <c r="H474" s="1"/>
      <c r="I474" s="1"/>
      <c r="J474" s="1" t="s">
        <v>19</v>
      </c>
      <c r="K474" s="1" t="s">
        <v>18</v>
      </c>
    </row>
    <row r="475" spans="1:11" x14ac:dyDescent="0.25">
      <c r="A475" s="1" t="s">
        <v>1177</v>
      </c>
      <c r="B475" s="1" t="s">
        <v>1178</v>
      </c>
      <c r="C475" s="1" t="s">
        <v>817</v>
      </c>
      <c r="D475" s="1" t="s">
        <v>1837</v>
      </c>
      <c r="E475" s="1" t="s">
        <v>760</v>
      </c>
      <c r="F475" s="1" t="s">
        <v>40</v>
      </c>
      <c r="G475" s="1" t="s">
        <v>40</v>
      </c>
      <c r="H475" s="1"/>
      <c r="I475" s="1"/>
      <c r="J475" s="1" t="s">
        <v>19</v>
      </c>
      <c r="K475" s="1" t="s">
        <v>18</v>
      </c>
    </row>
    <row r="476" spans="1:11" x14ac:dyDescent="0.25">
      <c r="A476" s="1" t="s">
        <v>1179</v>
      </c>
      <c r="B476" s="1" t="s">
        <v>1180</v>
      </c>
      <c r="C476" s="1" t="s">
        <v>974</v>
      </c>
      <c r="D476" s="1" t="s">
        <v>1838</v>
      </c>
      <c r="E476" s="1" t="s">
        <v>760</v>
      </c>
      <c r="F476" s="1" t="s">
        <v>1143</v>
      </c>
      <c r="G476" s="1" t="s">
        <v>1143</v>
      </c>
      <c r="H476" s="1"/>
      <c r="I476" s="1"/>
      <c r="J476" s="1" t="s">
        <v>19</v>
      </c>
      <c r="K476" s="1" t="s">
        <v>18</v>
      </c>
    </row>
    <row r="477" spans="1:11" x14ac:dyDescent="0.25">
      <c r="A477" s="1" t="s">
        <v>1181</v>
      </c>
      <c r="B477" s="1" t="s">
        <v>1182</v>
      </c>
      <c r="C477" s="1" t="s">
        <v>817</v>
      </c>
      <c r="D477" s="1" t="s">
        <v>1839</v>
      </c>
      <c r="E477" s="1" t="s">
        <v>760</v>
      </c>
      <c r="F477" s="1" t="s">
        <v>1143</v>
      </c>
      <c r="G477" s="1" t="s">
        <v>1143</v>
      </c>
      <c r="H477" s="1"/>
      <c r="I477" s="1"/>
      <c r="J477" s="1" t="s">
        <v>19</v>
      </c>
      <c r="K477" s="1" t="s">
        <v>18</v>
      </c>
    </row>
    <row r="478" spans="1:11" x14ac:dyDescent="0.25">
      <c r="A478" s="1" t="s">
        <v>1183</v>
      </c>
      <c r="B478" s="1" t="s">
        <v>1184</v>
      </c>
      <c r="C478" s="1" t="s">
        <v>817</v>
      </c>
      <c r="D478" s="1" t="s">
        <v>1840</v>
      </c>
      <c r="E478" s="1" t="s">
        <v>760</v>
      </c>
      <c r="F478" s="1" t="s">
        <v>1143</v>
      </c>
      <c r="G478" s="1" t="s">
        <v>1143</v>
      </c>
      <c r="H478" s="1"/>
      <c r="I478" s="1"/>
      <c r="J478" s="1" t="s">
        <v>19</v>
      </c>
      <c r="K478" s="1" t="s">
        <v>18</v>
      </c>
    </row>
    <row r="479" spans="1:11" x14ac:dyDescent="0.25">
      <c r="A479" s="1" t="s">
        <v>1185</v>
      </c>
      <c r="B479" s="1" t="s">
        <v>1186</v>
      </c>
      <c r="C479" s="1" t="s">
        <v>817</v>
      </c>
      <c r="D479" s="1" t="s">
        <v>1841</v>
      </c>
      <c r="E479" s="1" t="s">
        <v>760</v>
      </c>
      <c r="F479" s="1" t="s">
        <v>1143</v>
      </c>
      <c r="G479" s="1" t="s">
        <v>1143</v>
      </c>
      <c r="H479" s="1"/>
      <c r="I479" s="1"/>
      <c r="J479" s="1" t="s">
        <v>19</v>
      </c>
      <c r="K479" s="1" t="s">
        <v>18</v>
      </c>
    </row>
    <row r="480" spans="1:11" x14ac:dyDescent="0.25">
      <c r="A480" s="1" t="s">
        <v>1187</v>
      </c>
      <c r="B480" s="1" t="s">
        <v>1188</v>
      </c>
      <c r="C480" s="1" t="s">
        <v>817</v>
      </c>
      <c r="D480" s="1" t="s">
        <v>1722</v>
      </c>
      <c r="E480" s="1" t="s">
        <v>760</v>
      </c>
      <c r="F480" s="1" t="s">
        <v>1136</v>
      </c>
      <c r="G480" s="1" t="s">
        <v>1136</v>
      </c>
      <c r="H480" s="1"/>
      <c r="I480" s="1"/>
      <c r="J480" s="1" t="s">
        <v>19</v>
      </c>
      <c r="K480" s="1" t="s">
        <v>18</v>
      </c>
    </row>
    <row r="481" spans="1:11" x14ac:dyDescent="0.25">
      <c r="A481" s="1" t="s">
        <v>1189</v>
      </c>
      <c r="B481" s="1" t="s">
        <v>1190</v>
      </c>
      <c r="C481" s="1" t="s">
        <v>817</v>
      </c>
      <c r="D481" s="1" t="s">
        <v>1842</v>
      </c>
      <c r="E481" s="1" t="s">
        <v>760</v>
      </c>
      <c r="F481" s="1" t="s">
        <v>1136</v>
      </c>
      <c r="G481" s="1" t="s">
        <v>1136</v>
      </c>
      <c r="H481" s="1"/>
      <c r="I481" s="1"/>
      <c r="J481" s="1" t="s">
        <v>19</v>
      </c>
      <c r="K481" s="1" t="s">
        <v>18</v>
      </c>
    </row>
    <row r="482" spans="1:11" x14ac:dyDescent="0.25">
      <c r="A482" s="1" t="s">
        <v>1191</v>
      </c>
      <c r="B482" s="1" t="s">
        <v>1192</v>
      </c>
      <c r="C482" s="1" t="s">
        <v>817</v>
      </c>
      <c r="D482" s="1" t="s">
        <v>1843</v>
      </c>
      <c r="E482" s="1" t="s">
        <v>760</v>
      </c>
      <c r="F482" s="1" t="s">
        <v>40</v>
      </c>
      <c r="G482" s="1" t="s">
        <v>40</v>
      </c>
      <c r="H482" s="1"/>
      <c r="I482" s="1"/>
      <c r="J482" s="1" t="s">
        <v>19</v>
      </c>
      <c r="K482" s="1" t="s">
        <v>18</v>
      </c>
    </row>
    <row r="483" spans="1:11" x14ac:dyDescent="0.25">
      <c r="A483" s="1" t="s">
        <v>1193</v>
      </c>
      <c r="B483" s="1" t="s">
        <v>1194</v>
      </c>
      <c r="C483" s="1" t="s">
        <v>43</v>
      </c>
      <c r="D483" s="1" t="s">
        <v>1844</v>
      </c>
      <c r="E483" s="1" t="s">
        <v>760</v>
      </c>
      <c r="F483" s="1" t="s">
        <v>40</v>
      </c>
      <c r="G483" s="1" t="s">
        <v>40</v>
      </c>
      <c r="H483" s="1"/>
      <c r="I483" s="1"/>
      <c r="J483" s="1" t="s">
        <v>19</v>
      </c>
      <c r="K483" s="1" t="s">
        <v>18</v>
      </c>
    </row>
    <row r="484" spans="1:11" x14ac:dyDescent="0.25">
      <c r="A484" s="1" t="s">
        <v>1195</v>
      </c>
      <c r="B484" s="1" t="s">
        <v>1196</v>
      </c>
      <c r="C484" s="1" t="s">
        <v>817</v>
      </c>
      <c r="D484" s="1" t="s">
        <v>1523</v>
      </c>
      <c r="E484" s="1" t="s">
        <v>760</v>
      </c>
      <c r="F484" s="1" t="s">
        <v>40</v>
      </c>
      <c r="G484" s="1" t="s">
        <v>40</v>
      </c>
      <c r="H484" s="1"/>
      <c r="I484" s="1"/>
      <c r="J484" s="1" t="s">
        <v>19</v>
      </c>
      <c r="K484" s="1" t="s">
        <v>18</v>
      </c>
    </row>
    <row r="485" spans="1:11" x14ac:dyDescent="0.25">
      <c r="A485" s="1" t="s">
        <v>1197</v>
      </c>
      <c r="B485" s="1" t="s">
        <v>1198</v>
      </c>
      <c r="C485" s="1" t="s">
        <v>141</v>
      </c>
      <c r="D485" s="1" t="s">
        <v>1750</v>
      </c>
      <c r="E485" s="1" t="s">
        <v>760</v>
      </c>
      <c r="F485" s="1" t="s">
        <v>40</v>
      </c>
      <c r="G485" s="1" t="s">
        <v>40</v>
      </c>
      <c r="H485" s="1"/>
      <c r="I485" s="1"/>
      <c r="J485" s="1" t="s">
        <v>19</v>
      </c>
      <c r="K485" s="1" t="s">
        <v>18</v>
      </c>
    </row>
    <row r="486" spans="1:11" x14ac:dyDescent="0.25">
      <c r="A486" s="1" t="s">
        <v>1199</v>
      </c>
      <c r="B486" s="1" t="s">
        <v>1200</v>
      </c>
      <c r="C486" s="1" t="s">
        <v>807</v>
      </c>
      <c r="D486" s="1" t="s">
        <v>1845</v>
      </c>
      <c r="E486" s="1" t="s">
        <v>760</v>
      </c>
      <c r="F486" s="1" t="s">
        <v>40</v>
      </c>
      <c r="G486" s="1" t="s">
        <v>40</v>
      </c>
      <c r="H486" s="1"/>
      <c r="I486" s="1"/>
      <c r="J486" s="1" t="s">
        <v>19</v>
      </c>
      <c r="K486" s="1" t="s">
        <v>18</v>
      </c>
    </row>
    <row r="487" spans="1:11" x14ac:dyDescent="0.25">
      <c r="A487" s="1" t="s">
        <v>1201</v>
      </c>
      <c r="B487" s="1" t="s">
        <v>1202</v>
      </c>
      <c r="C487" s="1" t="s">
        <v>807</v>
      </c>
      <c r="D487" s="1" t="s">
        <v>1846</v>
      </c>
      <c r="E487" s="1" t="s">
        <v>760</v>
      </c>
      <c r="F487" s="1" t="s">
        <v>40</v>
      </c>
      <c r="G487" s="1" t="s">
        <v>40</v>
      </c>
      <c r="H487" s="1"/>
      <c r="I487" s="1"/>
      <c r="J487" s="1" t="s">
        <v>19</v>
      </c>
      <c r="K487" s="1" t="s">
        <v>18</v>
      </c>
    </row>
    <row r="488" spans="1:11" x14ac:dyDescent="0.25">
      <c r="A488" s="1" t="s">
        <v>1203</v>
      </c>
      <c r="B488" s="1" t="s">
        <v>1204</v>
      </c>
      <c r="C488" s="1" t="s">
        <v>985</v>
      </c>
      <c r="D488" s="1" t="s">
        <v>1660</v>
      </c>
      <c r="E488" s="1" t="s">
        <v>760</v>
      </c>
      <c r="F488" s="1" t="s">
        <v>40</v>
      </c>
      <c r="G488" s="1" t="s">
        <v>40</v>
      </c>
      <c r="H488" s="1"/>
      <c r="I488" s="1"/>
      <c r="J488" s="1" t="s">
        <v>19</v>
      </c>
      <c r="K488" s="1" t="s">
        <v>18</v>
      </c>
    </row>
    <row r="489" spans="1:11" x14ac:dyDescent="0.25">
      <c r="A489" s="1" t="s">
        <v>1205</v>
      </c>
      <c r="B489" s="1" t="s">
        <v>1206</v>
      </c>
      <c r="C489" s="1" t="s">
        <v>807</v>
      </c>
      <c r="D489" s="1" t="s">
        <v>1847</v>
      </c>
      <c r="E489" s="1" t="s">
        <v>760</v>
      </c>
      <c r="F489" s="1" t="s">
        <v>40</v>
      </c>
      <c r="G489" s="1" t="s">
        <v>40</v>
      </c>
      <c r="H489" s="1"/>
      <c r="I489" s="1"/>
      <c r="J489" s="1" t="s">
        <v>19</v>
      </c>
      <c r="K489" s="1" t="s">
        <v>18</v>
      </c>
    </row>
    <row r="490" spans="1:11" x14ac:dyDescent="0.25">
      <c r="A490" s="1" t="s">
        <v>1207</v>
      </c>
      <c r="B490" s="1" t="s">
        <v>1208</v>
      </c>
      <c r="C490" s="1" t="s">
        <v>997</v>
      </c>
      <c r="D490" s="1" t="s">
        <v>1209</v>
      </c>
      <c r="E490" s="1" t="s">
        <v>760</v>
      </c>
      <c r="F490" s="1" t="s">
        <v>40</v>
      </c>
      <c r="G490" s="1" t="s">
        <v>40</v>
      </c>
      <c r="H490" s="1"/>
      <c r="I490" s="1"/>
      <c r="J490" s="1" t="s">
        <v>19</v>
      </c>
      <c r="K490" s="1" t="s">
        <v>18</v>
      </c>
    </row>
    <row r="491" spans="1:11" x14ac:dyDescent="0.25">
      <c r="A491" s="1" t="s">
        <v>1210</v>
      </c>
      <c r="B491" s="1" t="s">
        <v>1211</v>
      </c>
      <c r="C491" s="1" t="s">
        <v>807</v>
      </c>
      <c r="D491" s="1" t="s">
        <v>1848</v>
      </c>
      <c r="E491" s="1" t="s">
        <v>760</v>
      </c>
      <c r="F491" s="1" t="s">
        <v>40</v>
      </c>
      <c r="G491" s="1" t="s">
        <v>40</v>
      </c>
      <c r="H491" s="1"/>
      <c r="I491" s="1"/>
      <c r="J491" s="1" t="s">
        <v>19</v>
      </c>
      <c r="K491" s="1" t="s">
        <v>18</v>
      </c>
    </row>
    <row r="492" spans="1:11" x14ac:dyDescent="0.25">
      <c r="A492" s="1" t="s">
        <v>1212</v>
      </c>
      <c r="B492" s="1" t="s">
        <v>1213</v>
      </c>
      <c r="C492" s="1" t="s">
        <v>807</v>
      </c>
      <c r="D492" s="1" t="s">
        <v>1849</v>
      </c>
      <c r="E492" s="1" t="s">
        <v>760</v>
      </c>
      <c r="F492" s="1" t="s">
        <v>40</v>
      </c>
      <c r="G492" s="1" t="s">
        <v>40</v>
      </c>
      <c r="H492" s="1"/>
      <c r="I492" s="1"/>
      <c r="J492" s="1" t="s">
        <v>19</v>
      </c>
      <c r="K492" s="1" t="s">
        <v>18</v>
      </c>
    </row>
    <row r="493" spans="1:11" x14ac:dyDescent="0.25">
      <c r="A493" s="1" t="s">
        <v>1214</v>
      </c>
      <c r="B493" s="1" t="s">
        <v>1215</v>
      </c>
      <c r="C493" s="1" t="s">
        <v>985</v>
      </c>
      <c r="D493" s="1" t="s">
        <v>1850</v>
      </c>
      <c r="E493" s="1" t="s">
        <v>760</v>
      </c>
      <c r="F493" s="1" t="s">
        <v>40</v>
      </c>
      <c r="G493" s="1" t="s">
        <v>40</v>
      </c>
      <c r="H493" s="1"/>
      <c r="I493" s="1"/>
      <c r="J493" s="1" t="s">
        <v>19</v>
      </c>
      <c r="K493" s="1" t="s">
        <v>18</v>
      </c>
    </row>
    <row r="494" spans="1:11" x14ac:dyDescent="0.25">
      <c r="A494" s="1" t="s">
        <v>1217</v>
      </c>
      <c r="B494" s="1" t="s">
        <v>1218</v>
      </c>
      <c r="C494" s="1" t="s">
        <v>985</v>
      </c>
      <c r="D494" s="1" t="s">
        <v>1851</v>
      </c>
      <c r="E494" s="1" t="s">
        <v>760</v>
      </c>
      <c r="F494" s="1" t="s">
        <v>40</v>
      </c>
      <c r="G494" s="1" t="s">
        <v>40</v>
      </c>
      <c r="H494" s="1"/>
      <c r="I494" s="1"/>
      <c r="J494" s="1" t="s">
        <v>19</v>
      </c>
      <c r="K494" s="1" t="s">
        <v>18</v>
      </c>
    </row>
    <row r="495" spans="1:11" x14ac:dyDescent="0.25">
      <c r="A495" s="1" t="s">
        <v>1219</v>
      </c>
      <c r="B495" s="1" t="s">
        <v>1220</v>
      </c>
      <c r="C495" s="1" t="s">
        <v>415</v>
      </c>
      <c r="D495" s="1" t="s">
        <v>1852</v>
      </c>
      <c r="E495" s="1" t="s">
        <v>760</v>
      </c>
      <c r="F495" s="1" t="s">
        <v>40</v>
      </c>
      <c r="G495" s="1" t="s">
        <v>40</v>
      </c>
      <c r="H495" s="1"/>
      <c r="I495" s="1"/>
      <c r="J495" s="1" t="s">
        <v>19</v>
      </c>
      <c r="K495" s="1" t="s">
        <v>18</v>
      </c>
    </row>
    <row r="496" spans="1:11" x14ac:dyDescent="0.25">
      <c r="A496" s="1" t="s">
        <v>1221</v>
      </c>
      <c r="B496" s="1" t="s">
        <v>1222</v>
      </c>
      <c r="C496" s="1" t="s">
        <v>146</v>
      </c>
      <c r="D496" s="1" t="s">
        <v>1853</v>
      </c>
      <c r="E496" s="1" t="s">
        <v>760</v>
      </c>
      <c r="F496" s="1" t="s">
        <v>40</v>
      </c>
      <c r="G496" s="1" t="s">
        <v>40</v>
      </c>
      <c r="H496" s="1"/>
      <c r="I496" s="1"/>
      <c r="J496" s="1" t="s">
        <v>19</v>
      </c>
      <c r="K496" s="1" t="s">
        <v>18</v>
      </c>
    </row>
    <row r="497" spans="1:11" x14ac:dyDescent="0.25">
      <c r="A497" s="1" t="s">
        <v>1223</v>
      </c>
      <c r="B497" s="1" t="s">
        <v>1224</v>
      </c>
      <c r="C497" s="1" t="s">
        <v>149</v>
      </c>
      <c r="D497" s="1" t="s">
        <v>1854</v>
      </c>
      <c r="E497" s="1" t="s">
        <v>760</v>
      </c>
      <c r="F497" s="1" t="s">
        <v>40</v>
      </c>
      <c r="G497" s="1" t="s">
        <v>40</v>
      </c>
      <c r="H497" s="1"/>
      <c r="I497" s="1"/>
      <c r="J497" s="1" t="s">
        <v>19</v>
      </c>
      <c r="K497" s="1" t="s">
        <v>18</v>
      </c>
    </row>
    <row r="498" spans="1:11" x14ac:dyDescent="0.25">
      <c r="A498" s="1" t="s">
        <v>1225</v>
      </c>
      <c r="B498" s="1" t="s">
        <v>1226</v>
      </c>
      <c r="C498" s="1" t="s">
        <v>1242</v>
      </c>
      <c r="D498" s="1" t="s">
        <v>1840</v>
      </c>
      <c r="E498" s="1" t="s">
        <v>41</v>
      </c>
      <c r="F498" s="1" t="s">
        <v>498</v>
      </c>
      <c r="G498" s="1" t="s">
        <v>498</v>
      </c>
      <c r="H498" s="1"/>
      <c r="I498" s="1"/>
      <c r="J498" s="1" t="s">
        <v>19</v>
      </c>
      <c r="K498" s="1" t="s">
        <v>18</v>
      </c>
    </row>
    <row r="499" spans="1:11" x14ac:dyDescent="0.25">
      <c r="A499" s="1" t="s">
        <v>1228</v>
      </c>
      <c r="B499" s="1" t="s">
        <v>1229</v>
      </c>
      <c r="C499" s="1" t="s">
        <v>1242</v>
      </c>
      <c r="D499" s="1" t="s">
        <v>1855</v>
      </c>
      <c r="E499" s="1" t="s">
        <v>41</v>
      </c>
      <c r="F499" s="1" t="s">
        <v>498</v>
      </c>
      <c r="G499" s="1" t="s">
        <v>498</v>
      </c>
      <c r="H499" s="1"/>
      <c r="I499" s="1"/>
      <c r="J499" s="1" t="s">
        <v>19</v>
      </c>
      <c r="K499" s="1" t="s">
        <v>18</v>
      </c>
    </row>
    <row r="500" spans="1:11" x14ac:dyDescent="0.25">
      <c r="A500" s="1" t="s">
        <v>1231</v>
      </c>
      <c r="B500" s="1" t="s">
        <v>1232</v>
      </c>
      <c r="C500" s="1" t="s">
        <v>1230</v>
      </c>
      <c r="D500" s="1" t="s">
        <v>1856</v>
      </c>
      <c r="E500" s="1" t="s">
        <v>41</v>
      </c>
      <c r="F500" s="1" t="s">
        <v>498</v>
      </c>
      <c r="G500" s="1" t="s">
        <v>498</v>
      </c>
      <c r="H500" s="1"/>
      <c r="I500" s="1"/>
      <c r="J500" s="1" t="s">
        <v>19</v>
      </c>
      <c r="K500" s="1" t="s">
        <v>18</v>
      </c>
    </row>
    <row r="501" spans="1:11" x14ac:dyDescent="0.25">
      <c r="A501" s="1" t="s">
        <v>1233</v>
      </c>
      <c r="B501" s="1" t="s">
        <v>1234</v>
      </c>
      <c r="C501" s="1" t="s">
        <v>1227</v>
      </c>
      <c r="D501" s="1" t="s">
        <v>1857</v>
      </c>
      <c r="E501" s="1" t="s">
        <v>41</v>
      </c>
      <c r="F501" s="1" t="s">
        <v>498</v>
      </c>
      <c r="G501" s="1" t="s">
        <v>498</v>
      </c>
      <c r="H501" s="1"/>
      <c r="I501" s="1"/>
      <c r="J501" s="1" t="s">
        <v>19</v>
      </c>
      <c r="K501" s="1" t="s">
        <v>18</v>
      </c>
    </row>
    <row r="502" spans="1:11" x14ac:dyDescent="0.25">
      <c r="A502" s="1" t="s">
        <v>1236</v>
      </c>
      <c r="B502" s="1" t="s">
        <v>1237</v>
      </c>
      <c r="C502" s="1" t="s">
        <v>1242</v>
      </c>
      <c r="D502" s="1" t="s">
        <v>1858</v>
      </c>
      <c r="E502" s="1" t="s">
        <v>41</v>
      </c>
      <c r="F502" s="1" t="s">
        <v>498</v>
      </c>
      <c r="G502" s="1" t="s">
        <v>498</v>
      </c>
      <c r="H502" s="1"/>
      <c r="I502" s="1"/>
      <c r="J502" s="1" t="s">
        <v>19</v>
      </c>
      <c r="K502" s="1" t="s">
        <v>18</v>
      </c>
    </row>
    <row r="503" spans="1:11" x14ac:dyDescent="0.25">
      <c r="A503" s="1" t="s">
        <v>1238</v>
      </c>
      <c r="B503" s="1" t="s">
        <v>1239</v>
      </c>
      <c r="C503" s="1" t="s">
        <v>1242</v>
      </c>
      <c r="D503" s="1" t="s">
        <v>1837</v>
      </c>
      <c r="E503" s="1" t="s">
        <v>41</v>
      </c>
      <c r="F503" s="1" t="s">
        <v>498</v>
      </c>
      <c r="G503" s="1" t="s">
        <v>498</v>
      </c>
      <c r="H503" s="1"/>
      <c r="I503" s="1"/>
      <c r="J503" s="1" t="s">
        <v>19</v>
      </c>
      <c r="K503" s="1" t="s">
        <v>18</v>
      </c>
    </row>
    <row r="504" spans="1:11" x14ac:dyDescent="0.25">
      <c r="A504" s="1" t="s">
        <v>1240</v>
      </c>
      <c r="B504" s="1" t="s">
        <v>1241</v>
      </c>
      <c r="C504" s="1" t="s">
        <v>1242</v>
      </c>
      <c r="D504" s="1" t="s">
        <v>1771</v>
      </c>
      <c r="E504" s="1" t="s">
        <v>41</v>
      </c>
      <c r="F504" s="1" t="s">
        <v>498</v>
      </c>
      <c r="G504" s="1" t="s">
        <v>498</v>
      </c>
      <c r="H504" s="1"/>
      <c r="I504" s="1"/>
      <c r="J504" s="1" t="s">
        <v>19</v>
      </c>
      <c r="K504" s="1" t="s">
        <v>18</v>
      </c>
    </row>
    <row r="505" spans="1:11" x14ac:dyDescent="0.25">
      <c r="A505" s="1" t="s">
        <v>1243</v>
      </c>
      <c r="B505" s="1" t="s">
        <v>1244</v>
      </c>
      <c r="C505" s="1" t="s">
        <v>1230</v>
      </c>
      <c r="D505" s="1" t="s">
        <v>1632</v>
      </c>
      <c r="E505" s="1" t="s">
        <v>41</v>
      </c>
      <c r="F505" s="1" t="s">
        <v>498</v>
      </c>
      <c r="G505" s="1" t="s">
        <v>498</v>
      </c>
      <c r="H505" s="1"/>
      <c r="I505" s="1"/>
      <c r="J505" s="1" t="s">
        <v>19</v>
      </c>
      <c r="K505" s="1" t="s">
        <v>18</v>
      </c>
    </row>
    <row r="506" spans="1:11" x14ac:dyDescent="0.25">
      <c r="A506" s="1" t="s">
        <v>1245</v>
      </c>
      <c r="B506" s="1" t="s">
        <v>1246</v>
      </c>
      <c r="C506" s="1" t="s">
        <v>247</v>
      </c>
      <c r="D506" s="1" t="s">
        <v>1859</v>
      </c>
      <c r="E506" s="1" t="s">
        <v>41</v>
      </c>
      <c r="F506" s="1" t="s">
        <v>498</v>
      </c>
      <c r="G506" s="1" t="s">
        <v>498</v>
      </c>
      <c r="H506" s="1"/>
      <c r="I506" s="1"/>
      <c r="J506" s="1" t="s">
        <v>19</v>
      </c>
      <c r="K506" s="1" t="s">
        <v>18</v>
      </c>
    </row>
    <row r="507" spans="1:11" x14ac:dyDescent="0.25">
      <c r="A507" s="1" t="s">
        <v>1247</v>
      </c>
      <c r="B507" s="1" t="s">
        <v>1248</v>
      </c>
      <c r="C507" s="1" t="s">
        <v>247</v>
      </c>
      <c r="D507" s="1" t="s">
        <v>1860</v>
      </c>
      <c r="E507" s="1" t="s">
        <v>41</v>
      </c>
      <c r="F507" s="1" t="s">
        <v>498</v>
      </c>
      <c r="G507" s="1" t="s">
        <v>498</v>
      </c>
      <c r="H507" s="1"/>
      <c r="I507" s="1"/>
      <c r="J507" s="1" t="s">
        <v>19</v>
      </c>
      <c r="K507" s="1" t="s">
        <v>18</v>
      </c>
    </row>
    <row r="508" spans="1:11" x14ac:dyDescent="0.25">
      <c r="A508" s="1" t="s">
        <v>1249</v>
      </c>
      <c r="B508" s="1" t="s">
        <v>1250</v>
      </c>
      <c r="C508" s="1" t="s">
        <v>1242</v>
      </c>
      <c r="D508" s="1" t="s">
        <v>1821</v>
      </c>
      <c r="E508" s="1" t="s">
        <v>41</v>
      </c>
      <c r="F508" s="1" t="s">
        <v>498</v>
      </c>
      <c r="G508" s="1" t="s">
        <v>498</v>
      </c>
      <c r="H508" s="1"/>
      <c r="I508" s="1"/>
      <c r="J508" s="1" t="s">
        <v>19</v>
      </c>
      <c r="K508" s="1" t="s">
        <v>18</v>
      </c>
    </row>
    <row r="509" spans="1:11" x14ac:dyDescent="0.25">
      <c r="A509" s="1" t="s">
        <v>1251</v>
      </c>
      <c r="B509" s="1" t="s">
        <v>1252</v>
      </c>
      <c r="C509" s="1" t="s">
        <v>247</v>
      </c>
      <c r="D509" s="1" t="s">
        <v>1861</v>
      </c>
      <c r="E509" s="1" t="s">
        <v>41</v>
      </c>
      <c r="F509" s="1" t="s">
        <v>498</v>
      </c>
      <c r="G509" s="1" t="s">
        <v>498</v>
      </c>
      <c r="H509" s="1"/>
      <c r="I509" s="1"/>
      <c r="J509" s="1" t="s">
        <v>19</v>
      </c>
      <c r="K509" s="1" t="s">
        <v>18</v>
      </c>
    </row>
    <row r="510" spans="1:11" x14ac:dyDescent="0.25">
      <c r="A510" s="1" t="s">
        <v>1253</v>
      </c>
      <c r="B510" s="1" t="s">
        <v>1254</v>
      </c>
      <c r="C510" s="1" t="s">
        <v>1242</v>
      </c>
      <c r="D510" s="1" t="s">
        <v>1862</v>
      </c>
      <c r="E510" s="1" t="s">
        <v>41</v>
      </c>
      <c r="F510" s="1" t="s">
        <v>498</v>
      </c>
      <c r="G510" s="1" t="s">
        <v>498</v>
      </c>
      <c r="H510" s="1"/>
      <c r="I510" s="1"/>
      <c r="J510" s="1" t="s">
        <v>19</v>
      </c>
      <c r="K510" s="1" t="s">
        <v>18</v>
      </c>
    </row>
    <row r="511" spans="1:11" x14ac:dyDescent="0.25">
      <c r="A511" s="1" t="s">
        <v>1255</v>
      </c>
      <c r="B511" s="1" t="s">
        <v>1256</v>
      </c>
      <c r="C511" s="1" t="s">
        <v>247</v>
      </c>
      <c r="D511" s="1" t="s">
        <v>1863</v>
      </c>
      <c r="E511" s="1" t="s">
        <v>41</v>
      </c>
      <c r="F511" s="1" t="s">
        <v>498</v>
      </c>
      <c r="G511" s="1" t="s">
        <v>498</v>
      </c>
      <c r="H511" s="1"/>
      <c r="I511" s="1"/>
      <c r="J511" s="1" t="s">
        <v>19</v>
      </c>
      <c r="K511" s="1" t="s">
        <v>18</v>
      </c>
    </row>
    <row r="512" spans="1:11" x14ac:dyDescent="0.25">
      <c r="A512" s="1" t="s">
        <v>1257</v>
      </c>
      <c r="B512" s="1" t="s">
        <v>1258</v>
      </c>
      <c r="C512" s="1" t="s">
        <v>1235</v>
      </c>
      <c r="D512" s="1" t="s">
        <v>1618</v>
      </c>
      <c r="E512" s="1" t="s">
        <v>41</v>
      </c>
      <c r="F512" s="1" t="s">
        <v>40</v>
      </c>
      <c r="G512" s="1" t="s">
        <v>40</v>
      </c>
      <c r="H512" s="1"/>
      <c r="I512" s="1"/>
      <c r="J512" s="1" t="s">
        <v>19</v>
      </c>
      <c r="K512" s="1" t="s">
        <v>18</v>
      </c>
    </row>
    <row r="513" spans="1:11" x14ac:dyDescent="0.25">
      <c r="A513" s="1" t="s">
        <v>1259</v>
      </c>
      <c r="B513" s="1" t="s">
        <v>1260</v>
      </c>
      <c r="C513" s="1" t="s">
        <v>1235</v>
      </c>
      <c r="D513" s="1" t="s">
        <v>1642</v>
      </c>
      <c r="E513" s="1" t="s">
        <v>41</v>
      </c>
      <c r="F513" s="1" t="s">
        <v>498</v>
      </c>
      <c r="G513" s="1" t="s">
        <v>498</v>
      </c>
      <c r="H513" s="1"/>
      <c r="I513" s="1"/>
      <c r="J513" s="1" t="s">
        <v>19</v>
      </c>
      <c r="K513" s="1" t="s">
        <v>18</v>
      </c>
    </row>
    <row r="514" spans="1:11" x14ac:dyDescent="0.25">
      <c r="A514" s="1" t="s">
        <v>1261</v>
      </c>
      <c r="B514" s="1" t="s">
        <v>1262</v>
      </c>
      <c r="C514" s="1" t="s">
        <v>1242</v>
      </c>
      <c r="D514" s="1" t="s">
        <v>1818</v>
      </c>
      <c r="E514" s="1" t="s">
        <v>41</v>
      </c>
      <c r="F514" s="1" t="s">
        <v>498</v>
      </c>
      <c r="G514" s="1" t="s">
        <v>498</v>
      </c>
      <c r="H514" s="1"/>
      <c r="I514" s="1"/>
      <c r="J514" s="1" t="s">
        <v>19</v>
      </c>
      <c r="K514" s="1" t="s">
        <v>18</v>
      </c>
    </row>
    <row r="515" spans="1:11" x14ac:dyDescent="0.25">
      <c r="A515" s="1" t="s">
        <v>1263</v>
      </c>
      <c r="B515" s="1" t="s">
        <v>1264</v>
      </c>
      <c r="C515" s="1" t="s">
        <v>1235</v>
      </c>
      <c r="D515" s="1" t="s">
        <v>1864</v>
      </c>
      <c r="E515" s="1" t="s">
        <v>41</v>
      </c>
      <c r="F515" s="1" t="s">
        <v>498</v>
      </c>
      <c r="G515" s="1" t="s">
        <v>498</v>
      </c>
      <c r="H515" s="1"/>
      <c r="I515" s="1"/>
      <c r="J515" s="1" t="s">
        <v>19</v>
      </c>
      <c r="K515" s="1" t="s">
        <v>18</v>
      </c>
    </row>
    <row r="516" spans="1:11" x14ac:dyDescent="0.25">
      <c r="A516" s="1" t="s">
        <v>1265</v>
      </c>
      <c r="B516" s="1" t="s">
        <v>1266</v>
      </c>
      <c r="C516" s="1" t="s">
        <v>1242</v>
      </c>
      <c r="D516" s="1" t="s">
        <v>1658</v>
      </c>
      <c r="E516" s="1" t="s">
        <v>41</v>
      </c>
      <c r="F516" s="1" t="s">
        <v>498</v>
      </c>
      <c r="G516" s="1" t="s">
        <v>498</v>
      </c>
      <c r="H516" s="1"/>
      <c r="I516" s="1"/>
      <c r="J516" s="1" t="s">
        <v>19</v>
      </c>
      <c r="K516" s="1" t="s">
        <v>18</v>
      </c>
    </row>
    <row r="517" spans="1:11" x14ac:dyDescent="0.25">
      <c r="A517" s="1" t="s">
        <v>1267</v>
      </c>
      <c r="B517" s="1" t="s">
        <v>1268</v>
      </c>
      <c r="C517" s="1" t="s">
        <v>1235</v>
      </c>
      <c r="D517" s="1" t="s">
        <v>1865</v>
      </c>
      <c r="E517" s="1" t="s">
        <v>41</v>
      </c>
      <c r="F517" s="1" t="s">
        <v>498</v>
      </c>
      <c r="G517" s="1" t="s">
        <v>498</v>
      </c>
      <c r="H517" s="1"/>
      <c r="I517" s="1"/>
      <c r="J517" s="1" t="s">
        <v>19</v>
      </c>
      <c r="K517" s="1" t="s">
        <v>18</v>
      </c>
    </row>
    <row r="518" spans="1:11" x14ac:dyDescent="0.25">
      <c r="A518" s="1" t="s">
        <v>1269</v>
      </c>
      <c r="B518" s="1" t="s">
        <v>1270</v>
      </c>
      <c r="C518" s="1" t="s">
        <v>1230</v>
      </c>
      <c r="D518" s="1" t="s">
        <v>1779</v>
      </c>
      <c r="E518" s="1" t="s">
        <v>41</v>
      </c>
      <c r="F518" s="1" t="s">
        <v>498</v>
      </c>
      <c r="G518" s="1" t="s">
        <v>498</v>
      </c>
      <c r="H518" s="1"/>
      <c r="I518" s="1"/>
      <c r="J518" s="1" t="s">
        <v>19</v>
      </c>
      <c r="K518" s="1" t="s">
        <v>18</v>
      </c>
    </row>
    <row r="519" spans="1:11" x14ac:dyDescent="0.25">
      <c r="A519" s="1" t="s">
        <v>1271</v>
      </c>
      <c r="B519" s="1" t="s">
        <v>1272</v>
      </c>
      <c r="C519" s="1" t="s">
        <v>1242</v>
      </c>
      <c r="D519" s="1" t="s">
        <v>1866</v>
      </c>
      <c r="E519" s="1" t="s">
        <v>41</v>
      </c>
      <c r="F519" s="1" t="s">
        <v>498</v>
      </c>
      <c r="G519" s="1" t="s">
        <v>498</v>
      </c>
      <c r="H519" s="1"/>
      <c r="I519" s="1"/>
      <c r="J519" s="1" t="s">
        <v>19</v>
      </c>
      <c r="K519" s="1" t="s">
        <v>18</v>
      </c>
    </row>
    <row r="520" spans="1:11" x14ac:dyDescent="0.25">
      <c r="A520" s="1" t="s">
        <v>1273</v>
      </c>
      <c r="B520" s="1" t="s">
        <v>1274</v>
      </c>
      <c r="C520" s="1" t="s">
        <v>1227</v>
      </c>
      <c r="D520" s="1" t="s">
        <v>1772</v>
      </c>
      <c r="E520" s="1" t="s">
        <v>41</v>
      </c>
      <c r="F520" s="1" t="s">
        <v>498</v>
      </c>
      <c r="G520" s="1" t="s">
        <v>498</v>
      </c>
      <c r="H520" s="1"/>
      <c r="I520" s="1"/>
      <c r="J520" s="1" t="s">
        <v>19</v>
      </c>
      <c r="K520" s="1" t="s">
        <v>18</v>
      </c>
    </row>
    <row r="521" spans="1:11" x14ac:dyDescent="0.25">
      <c r="A521" s="1" t="s">
        <v>1275</v>
      </c>
      <c r="B521" s="1" t="s">
        <v>1276</v>
      </c>
      <c r="C521" s="1" t="s">
        <v>247</v>
      </c>
      <c r="D521" s="1" t="s">
        <v>1867</v>
      </c>
      <c r="E521" s="1" t="s">
        <v>41</v>
      </c>
      <c r="F521" s="1" t="s">
        <v>498</v>
      </c>
      <c r="G521" s="1" t="s">
        <v>498</v>
      </c>
      <c r="H521" s="1"/>
      <c r="I521" s="1"/>
      <c r="J521" s="1" t="s">
        <v>19</v>
      </c>
      <c r="K521" s="1" t="s">
        <v>18</v>
      </c>
    </row>
    <row r="522" spans="1:11" x14ac:dyDescent="0.25">
      <c r="A522" s="1" t="s">
        <v>1277</v>
      </c>
      <c r="B522" s="1" t="s">
        <v>1278</v>
      </c>
      <c r="C522" s="1" t="s">
        <v>1868</v>
      </c>
      <c r="D522" s="1" t="s">
        <v>1869</v>
      </c>
      <c r="E522" s="1" t="s">
        <v>41</v>
      </c>
      <c r="F522" s="1" t="s">
        <v>1279</v>
      </c>
      <c r="G522" s="1" t="s">
        <v>1279</v>
      </c>
      <c r="H522" s="1"/>
      <c r="I522" s="1"/>
      <c r="J522" s="1" t="s">
        <v>19</v>
      </c>
      <c r="K522" s="1" t="s">
        <v>18</v>
      </c>
    </row>
    <row r="523" spans="1:11" x14ac:dyDescent="0.25">
      <c r="A523" s="1" t="s">
        <v>1280</v>
      </c>
      <c r="B523" s="1" t="s">
        <v>1281</v>
      </c>
      <c r="C523" s="1" t="s">
        <v>547</v>
      </c>
      <c r="D523" s="1" t="s">
        <v>1870</v>
      </c>
      <c r="E523" s="1" t="s">
        <v>41</v>
      </c>
      <c r="F523" s="1" t="s">
        <v>1279</v>
      </c>
      <c r="G523" s="1" t="s">
        <v>1279</v>
      </c>
      <c r="H523" s="1"/>
      <c r="I523" s="1"/>
      <c r="J523" s="1" t="s">
        <v>19</v>
      </c>
      <c r="K523" s="1" t="s">
        <v>18</v>
      </c>
    </row>
    <row r="524" spans="1:11" x14ac:dyDescent="0.25">
      <c r="A524" s="1" t="s">
        <v>1282</v>
      </c>
      <c r="B524" s="1" t="s">
        <v>1283</v>
      </c>
      <c r="C524" s="1" t="s">
        <v>634</v>
      </c>
      <c r="D524" s="1" t="s">
        <v>1871</v>
      </c>
      <c r="E524" s="1" t="s">
        <v>41</v>
      </c>
      <c r="F524" s="1" t="s">
        <v>1279</v>
      </c>
      <c r="G524" s="1" t="s">
        <v>1279</v>
      </c>
      <c r="H524" s="1"/>
      <c r="I524" s="1"/>
      <c r="J524" s="1" t="s">
        <v>19</v>
      </c>
      <c r="K524" s="1" t="s">
        <v>18</v>
      </c>
    </row>
    <row r="525" spans="1:11" x14ac:dyDescent="0.25">
      <c r="A525" s="1" t="s">
        <v>1284</v>
      </c>
      <c r="B525" s="1" t="s">
        <v>1285</v>
      </c>
      <c r="C525" s="1" t="s">
        <v>1227</v>
      </c>
      <c r="D525" s="1" t="s">
        <v>1872</v>
      </c>
      <c r="E525" s="1" t="s">
        <v>41</v>
      </c>
      <c r="F525" s="1" t="s">
        <v>498</v>
      </c>
      <c r="G525" s="1" t="s">
        <v>498</v>
      </c>
      <c r="H525" s="1"/>
      <c r="I525" s="1"/>
      <c r="J525" s="1" t="s">
        <v>19</v>
      </c>
      <c r="K525" s="1" t="s">
        <v>18</v>
      </c>
    </row>
    <row r="526" spans="1:11" x14ac:dyDescent="0.25">
      <c r="A526" s="1" t="s">
        <v>1286</v>
      </c>
      <c r="B526" s="1" t="s">
        <v>1287</v>
      </c>
      <c r="C526" s="1" t="s">
        <v>1235</v>
      </c>
      <c r="D526" s="1" t="s">
        <v>1873</v>
      </c>
      <c r="E526" s="1" t="s">
        <v>41</v>
      </c>
      <c r="F526" s="1" t="s">
        <v>498</v>
      </c>
      <c r="G526" s="1" t="s">
        <v>498</v>
      </c>
      <c r="H526" s="1"/>
      <c r="I526" s="1"/>
      <c r="J526" s="1" t="s">
        <v>19</v>
      </c>
      <c r="K526" s="1" t="s">
        <v>18</v>
      </c>
    </row>
    <row r="527" spans="1:11" x14ac:dyDescent="0.25">
      <c r="A527" s="1" t="s">
        <v>1288</v>
      </c>
      <c r="B527" s="1" t="s">
        <v>1289</v>
      </c>
      <c r="C527" s="1" t="s">
        <v>1230</v>
      </c>
      <c r="D527" s="1" t="s">
        <v>1874</v>
      </c>
      <c r="E527" s="1" t="s">
        <v>41</v>
      </c>
      <c r="F527" s="1" t="s">
        <v>40</v>
      </c>
      <c r="G527" s="1" t="s">
        <v>40</v>
      </c>
      <c r="H527" s="1"/>
      <c r="I527" s="1"/>
      <c r="J527" s="1" t="s">
        <v>19</v>
      </c>
      <c r="K527" s="1" t="s">
        <v>18</v>
      </c>
    </row>
    <row r="528" spans="1:11" x14ac:dyDescent="0.25">
      <c r="A528" s="1" t="s">
        <v>1290</v>
      </c>
      <c r="B528" s="1" t="s">
        <v>1291</v>
      </c>
      <c r="C528" s="1" t="s">
        <v>1227</v>
      </c>
      <c r="D528" s="1" t="s">
        <v>1875</v>
      </c>
      <c r="E528" s="1" t="s">
        <v>41</v>
      </c>
      <c r="F528" s="1" t="s">
        <v>498</v>
      </c>
      <c r="G528" s="1" t="s">
        <v>498</v>
      </c>
      <c r="H528" s="1"/>
      <c r="I528" s="1"/>
      <c r="J528" s="1" t="s">
        <v>19</v>
      </c>
      <c r="K528" s="1" t="s">
        <v>18</v>
      </c>
    </row>
    <row r="529" spans="1:11" x14ac:dyDescent="0.25">
      <c r="A529" s="1" t="s">
        <v>1292</v>
      </c>
      <c r="B529" s="1" t="s">
        <v>1293</v>
      </c>
      <c r="C529" s="1" t="s">
        <v>247</v>
      </c>
      <c r="D529" s="1" t="s">
        <v>1587</v>
      </c>
      <c r="E529" s="1" t="s">
        <v>41</v>
      </c>
      <c r="F529" s="1" t="s">
        <v>1279</v>
      </c>
      <c r="G529" s="1" t="s">
        <v>1279</v>
      </c>
      <c r="H529" s="1"/>
      <c r="I529" s="1"/>
      <c r="J529" s="1" t="s">
        <v>19</v>
      </c>
      <c r="K529" s="1" t="s">
        <v>18</v>
      </c>
    </row>
    <row r="530" spans="1:11" x14ac:dyDescent="0.25">
      <c r="A530" s="1" t="s">
        <v>1294</v>
      </c>
      <c r="B530" s="1" t="s">
        <v>1295</v>
      </c>
      <c r="C530" s="1" t="s">
        <v>247</v>
      </c>
      <c r="D530" s="1" t="s">
        <v>1726</v>
      </c>
      <c r="E530" s="1" t="s">
        <v>41</v>
      </c>
      <c r="F530" s="1" t="s">
        <v>498</v>
      </c>
      <c r="G530" s="1" t="s">
        <v>498</v>
      </c>
      <c r="H530" s="1"/>
      <c r="I530" s="1"/>
      <c r="J530" s="1" t="s">
        <v>19</v>
      </c>
      <c r="K530" s="1" t="s">
        <v>18</v>
      </c>
    </row>
    <row r="531" spans="1:11" x14ac:dyDescent="0.25">
      <c r="A531" s="1" t="s">
        <v>1296</v>
      </c>
      <c r="B531" s="1" t="s">
        <v>1297</v>
      </c>
      <c r="C531" s="1" t="s">
        <v>1</v>
      </c>
      <c r="D531" s="1" t="s">
        <v>1876</v>
      </c>
      <c r="E531" s="1" t="s">
        <v>41</v>
      </c>
      <c r="F531" s="1" t="s">
        <v>1279</v>
      </c>
      <c r="G531" s="1" t="s">
        <v>1279</v>
      </c>
      <c r="H531" s="1"/>
      <c r="I531" s="1"/>
      <c r="J531" s="1" t="s">
        <v>19</v>
      </c>
      <c r="K531" s="1" t="s">
        <v>18</v>
      </c>
    </row>
    <row r="532" spans="1:11" x14ac:dyDescent="0.25">
      <c r="A532" s="1" t="s">
        <v>1298</v>
      </c>
      <c r="B532" s="1" t="s">
        <v>1299</v>
      </c>
      <c r="C532" s="1" t="s">
        <v>1300</v>
      </c>
      <c r="D532" s="1" t="s">
        <v>45</v>
      </c>
      <c r="E532" s="1" t="s">
        <v>41</v>
      </c>
      <c r="F532" s="1" t="s">
        <v>1279</v>
      </c>
      <c r="G532" s="1" t="s">
        <v>1279</v>
      </c>
      <c r="H532" s="1"/>
      <c r="I532" s="1"/>
      <c r="J532" s="1" t="s">
        <v>19</v>
      </c>
      <c r="K532" s="1" t="s">
        <v>18</v>
      </c>
    </row>
    <row r="533" spans="1:11" x14ac:dyDescent="0.25">
      <c r="A533" s="1" t="s">
        <v>1301</v>
      </c>
      <c r="B533" s="1" t="s">
        <v>1302</v>
      </c>
      <c r="C533" s="1" t="s">
        <v>568</v>
      </c>
      <c r="D533" s="1" t="s">
        <v>1877</v>
      </c>
      <c r="E533" s="1" t="s">
        <v>41</v>
      </c>
      <c r="F533" s="1" t="s">
        <v>1303</v>
      </c>
      <c r="G533" s="1" t="s">
        <v>1303</v>
      </c>
      <c r="H533" s="1"/>
      <c r="I533" s="1"/>
      <c r="J533" s="1" t="s">
        <v>19</v>
      </c>
      <c r="K533" s="1" t="s">
        <v>18</v>
      </c>
    </row>
    <row r="534" spans="1:11" x14ac:dyDescent="0.25">
      <c r="A534" s="1" t="s">
        <v>1304</v>
      </c>
      <c r="B534" s="1" t="s">
        <v>1305</v>
      </c>
      <c r="C534" s="1" t="s">
        <v>1868</v>
      </c>
      <c r="D534" s="1" t="s">
        <v>1878</v>
      </c>
      <c r="E534" s="1" t="s">
        <v>41</v>
      </c>
      <c r="F534" s="1" t="s">
        <v>1279</v>
      </c>
      <c r="G534" s="1" t="s">
        <v>1279</v>
      </c>
      <c r="H534" s="1"/>
      <c r="I534" s="1"/>
      <c r="J534" s="1" t="s">
        <v>19</v>
      </c>
      <c r="K534" s="1" t="s">
        <v>18</v>
      </c>
    </row>
    <row r="535" spans="1:11" x14ac:dyDescent="0.25">
      <c r="A535" s="1" t="s">
        <v>1306</v>
      </c>
      <c r="B535" s="1" t="s">
        <v>1307</v>
      </c>
      <c r="C535" s="1" t="s">
        <v>568</v>
      </c>
      <c r="D535" s="1" t="s">
        <v>1879</v>
      </c>
      <c r="E535" s="1" t="s">
        <v>41</v>
      </c>
      <c r="F535" s="1" t="s">
        <v>1303</v>
      </c>
      <c r="G535" s="1" t="s">
        <v>1303</v>
      </c>
      <c r="H535" s="1"/>
      <c r="I535" s="1"/>
      <c r="J535" s="1" t="s">
        <v>19</v>
      </c>
      <c r="K535" s="1" t="s">
        <v>18</v>
      </c>
    </row>
    <row r="536" spans="1:11" x14ac:dyDescent="0.25">
      <c r="A536" s="1" t="s">
        <v>1308</v>
      </c>
      <c r="B536" s="1" t="s">
        <v>1309</v>
      </c>
      <c r="C536" s="1" t="s">
        <v>568</v>
      </c>
      <c r="D536" s="1" t="s">
        <v>1816</v>
      </c>
      <c r="E536" s="1" t="s">
        <v>41</v>
      </c>
      <c r="F536" s="1" t="s">
        <v>1303</v>
      </c>
      <c r="G536" s="1" t="s">
        <v>1303</v>
      </c>
      <c r="H536" s="1"/>
      <c r="I536" s="1"/>
      <c r="J536" s="1" t="s">
        <v>19</v>
      </c>
      <c r="K536" s="1" t="s">
        <v>18</v>
      </c>
    </row>
    <row r="537" spans="1:11" x14ac:dyDescent="0.25">
      <c r="A537" s="1" t="s">
        <v>1310</v>
      </c>
      <c r="B537" s="1" t="s">
        <v>1311</v>
      </c>
      <c r="C537" s="1" t="s">
        <v>634</v>
      </c>
      <c r="D537" s="1" t="s">
        <v>1880</v>
      </c>
      <c r="E537" s="1" t="s">
        <v>41</v>
      </c>
      <c r="F537" s="1" t="s">
        <v>1279</v>
      </c>
      <c r="G537" s="1" t="s">
        <v>1279</v>
      </c>
      <c r="H537" s="1"/>
      <c r="I537" s="1"/>
      <c r="J537" s="1" t="s">
        <v>19</v>
      </c>
      <c r="K537" s="1" t="s">
        <v>18</v>
      </c>
    </row>
    <row r="538" spans="1:11" x14ac:dyDescent="0.25">
      <c r="A538" s="1" t="s">
        <v>1312</v>
      </c>
      <c r="B538" s="1" t="s">
        <v>1313</v>
      </c>
      <c r="C538" s="1" t="s">
        <v>547</v>
      </c>
      <c r="D538" s="1" t="s">
        <v>1881</v>
      </c>
      <c r="E538" s="1" t="s">
        <v>41</v>
      </c>
      <c r="F538" s="1" t="s">
        <v>1279</v>
      </c>
      <c r="G538" s="1" t="s">
        <v>1279</v>
      </c>
      <c r="H538" s="1"/>
      <c r="I538" s="1"/>
      <c r="J538" s="1" t="s">
        <v>19</v>
      </c>
      <c r="K538" s="1" t="s">
        <v>18</v>
      </c>
    </row>
    <row r="539" spans="1:11" x14ac:dyDescent="0.25">
      <c r="A539" s="1" t="s">
        <v>1314</v>
      </c>
      <c r="B539" s="1" t="s">
        <v>1315</v>
      </c>
      <c r="C539" s="1" t="s">
        <v>231</v>
      </c>
      <c r="D539" s="1" t="s">
        <v>1573</v>
      </c>
      <c r="E539" s="1" t="s">
        <v>41</v>
      </c>
      <c r="F539" s="1" t="s">
        <v>1303</v>
      </c>
      <c r="G539" s="1" t="s">
        <v>1303</v>
      </c>
      <c r="H539" s="1"/>
      <c r="I539" s="1"/>
      <c r="J539" s="1" t="s">
        <v>19</v>
      </c>
      <c r="K539" s="1" t="s">
        <v>18</v>
      </c>
    </row>
    <row r="540" spans="1:11" x14ac:dyDescent="0.25">
      <c r="A540" s="1" t="s">
        <v>1316</v>
      </c>
      <c r="B540" s="1" t="s">
        <v>1317</v>
      </c>
      <c r="C540" s="1" t="s">
        <v>634</v>
      </c>
      <c r="D540" s="1" t="s">
        <v>1626</v>
      </c>
      <c r="E540" s="1" t="s">
        <v>41</v>
      </c>
      <c r="F540" s="1" t="s">
        <v>40</v>
      </c>
      <c r="G540" s="1" t="s">
        <v>40</v>
      </c>
      <c r="H540" s="1"/>
      <c r="I540" s="1"/>
      <c r="J540" s="1" t="s">
        <v>19</v>
      </c>
      <c r="K540" s="1" t="s">
        <v>18</v>
      </c>
    </row>
    <row r="541" spans="1:11" x14ac:dyDescent="0.25">
      <c r="A541" s="1" t="s">
        <v>1318</v>
      </c>
      <c r="B541" s="1" t="s">
        <v>1319</v>
      </c>
      <c r="C541" s="1" t="s">
        <v>203</v>
      </c>
      <c r="D541" s="1" t="s">
        <v>1882</v>
      </c>
      <c r="E541" s="1" t="s">
        <v>41</v>
      </c>
      <c r="F541" s="1" t="s">
        <v>1303</v>
      </c>
      <c r="G541" s="1" t="s">
        <v>1303</v>
      </c>
      <c r="H541" s="1"/>
      <c r="I541" s="1"/>
      <c r="J541" s="1" t="s">
        <v>19</v>
      </c>
      <c r="K541" s="1" t="s">
        <v>18</v>
      </c>
    </row>
    <row r="542" spans="1:11" x14ac:dyDescent="0.25">
      <c r="A542" s="1" t="s">
        <v>1320</v>
      </c>
      <c r="B542" s="1" t="s">
        <v>1321</v>
      </c>
      <c r="C542" s="1" t="s">
        <v>568</v>
      </c>
      <c r="D542" s="1" t="s">
        <v>1883</v>
      </c>
      <c r="E542" s="1" t="s">
        <v>41</v>
      </c>
      <c r="F542" s="1" t="s">
        <v>1303</v>
      </c>
      <c r="G542" s="1" t="s">
        <v>1303</v>
      </c>
      <c r="H542" s="1"/>
      <c r="I542" s="1"/>
      <c r="J542" s="1" t="s">
        <v>19</v>
      </c>
      <c r="K542" s="1" t="s">
        <v>18</v>
      </c>
    </row>
    <row r="543" spans="1:11" x14ac:dyDescent="0.25">
      <c r="A543" s="1" t="s">
        <v>1322</v>
      </c>
      <c r="B543" s="1" t="s">
        <v>1323</v>
      </c>
      <c r="C543" s="1" t="s">
        <v>568</v>
      </c>
      <c r="D543" s="1" t="s">
        <v>1884</v>
      </c>
      <c r="E543" s="1" t="s">
        <v>41</v>
      </c>
      <c r="F543" s="1" t="s">
        <v>1303</v>
      </c>
      <c r="G543" s="1" t="s">
        <v>1303</v>
      </c>
      <c r="H543" s="1"/>
      <c r="I543" s="1"/>
      <c r="J543" s="1" t="s">
        <v>19</v>
      </c>
      <c r="K543" s="1" t="s">
        <v>18</v>
      </c>
    </row>
    <row r="544" spans="1:11" x14ac:dyDescent="0.25">
      <c r="A544" s="1" t="s">
        <v>1324</v>
      </c>
      <c r="B544" s="1" t="s">
        <v>1325</v>
      </c>
      <c r="C544" s="1" t="s">
        <v>1</v>
      </c>
      <c r="D544" s="1" t="s">
        <v>1326</v>
      </c>
      <c r="E544" s="1" t="s">
        <v>41</v>
      </c>
      <c r="F544" s="1" t="s">
        <v>1303</v>
      </c>
      <c r="G544" s="1" t="s">
        <v>1303</v>
      </c>
      <c r="H544" s="1"/>
      <c r="I544" s="1"/>
      <c r="J544" s="1" t="s">
        <v>19</v>
      </c>
      <c r="K544" s="1" t="s">
        <v>18</v>
      </c>
    </row>
    <row r="545" spans="1:11" x14ac:dyDescent="0.25">
      <c r="A545" s="1" t="s">
        <v>1327</v>
      </c>
      <c r="B545" s="1" t="s">
        <v>1328</v>
      </c>
      <c r="C545" s="1" t="s">
        <v>1300</v>
      </c>
      <c r="D545" s="1" t="s">
        <v>1885</v>
      </c>
      <c r="E545" s="1" t="s">
        <v>41</v>
      </c>
      <c r="F545" s="1" t="s">
        <v>1303</v>
      </c>
      <c r="G545" s="1" t="s">
        <v>1303</v>
      </c>
      <c r="H545" s="1"/>
      <c r="I545" s="1"/>
      <c r="J545" s="1" t="s">
        <v>19</v>
      </c>
      <c r="K545" s="1" t="s">
        <v>18</v>
      </c>
    </row>
    <row r="546" spans="1:11" x14ac:dyDescent="0.25">
      <c r="A546" s="1" t="s">
        <v>1329</v>
      </c>
      <c r="B546" s="1" t="s">
        <v>1330</v>
      </c>
      <c r="C546" s="1" t="s">
        <v>568</v>
      </c>
      <c r="D546" s="1" t="s">
        <v>1886</v>
      </c>
      <c r="E546" s="1" t="s">
        <v>41</v>
      </c>
      <c r="F546" s="1" t="s">
        <v>1303</v>
      </c>
      <c r="G546" s="1" t="s">
        <v>1303</v>
      </c>
      <c r="H546" s="1"/>
      <c r="I546" s="1"/>
      <c r="J546" s="1" t="s">
        <v>19</v>
      </c>
      <c r="K546" s="1" t="s">
        <v>18</v>
      </c>
    </row>
    <row r="547" spans="1:11" x14ac:dyDescent="0.25">
      <c r="A547" s="1" t="s">
        <v>1331</v>
      </c>
      <c r="B547" s="1" t="s">
        <v>1332</v>
      </c>
      <c r="C547" s="1" t="s">
        <v>568</v>
      </c>
      <c r="D547" s="1" t="s">
        <v>1887</v>
      </c>
      <c r="E547" s="1" t="s">
        <v>41</v>
      </c>
      <c r="F547" s="1" t="s">
        <v>1303</v>
      </c>
      <c r="G547" s="1" t="s">
        <v>1303</v>
      </c>
      <c r="H547" s="1"/>
      <c r="I547" s="1"/>
      <c r="J547" s="1" t="s">
        <v>19</v>
      </c>
      <c r="K547" s="1" t="s">
        <v>18</v>
      </c>
    </row>
    <row r="548" spans="1:11" x14ac:dyDescent="0.25">
      <c r="A548" s="1" t="s">
        <v>1333</v>
      </c>
      <c r="B548" s="1" t="s">
        <v>1334</v>
      </c>
      <c r="C548" s="1" t="s">
        <v>568</v>
      </c>
      <c r="D548" s="1" t="s">
        <v>1888</v>
      </c>
      <c r="E548" s="1" t="s">
        <v>41</v>
      </c>
      <c r="F548" s="1" t="s">
        <v>1303</v>
      </c>
      <c r="G548" s="1" t="s">
        <v>1303</v>
      </c>
      <c r="H548" s="1"/>
      <c r="I548" s="1"/>
      <c r="J548" s="1" t="s">
        <v>19</v>
      </c>
      <c r="K548" s="1" t="s">
        <v>18</v>
      </c>
    </row>
    <row r="549" spans="1:11" x14ac:dyDescent="0.25">
      <c r="A549" s="1" t="s">
        <v>1335</v>
      </c>
      <c r="B549" s="1" t="s">
        <v>1336</v>
      </c>
      <c r="C549" s="1" t="s">
        <v>568</v>
      </c>
      <c r="D549" s="1" t="s">
        <v>1656</v>
      </c>
      <c r="E549" s="1" t="s">
        <v>41</v>
      </c>
      <c r="F549" s="1" t="s">
        <v>1303</v>
      </c>
      <c r="G549" s="1" t="s">
        <v>1303</v>
      </c>
      <c r="H549" s="1"/>
      <c r="I549" s="1"/>
      <c r="J549" s="1" t="s">
        <v>19</v>
      </c>
      <c r="K549" s="1" t="s">
        <v>18</v>
      </c>
    </row>
    <row r="550" spans="1:11" x14ac:dyDescent="0.25">
      <c r="A550" s="1" t="s">
        <v>1337</v>
      </c>
      <c r="B550" s="1" t="s">
        <v>1338</v>
      </c>
      <c r="C550" s="1" t="s">
        <v>1868</v>
      </c>
      <c r="D550" s="1" t="s">
        <v>1889</v>
      </c>
      <c r="E550" s="1" t="s">
        <v>41</v>
      </c>
      <c r="F550" s="1" t="s">
        <v>1279</v>
      </c>
      <c r="G550" s="1" t="s">
        <v>1279</v>
      </c>
      <c r="H550" s="1"/>
      <c r="I550" s="1"/>
      <c r="J550" s="1" t="s">
        <v>19</v>
      </c>
      <c r="K550" s="1" t="s">
        <v>18</v>
      </c>
    </row>
    <row r="551" spans="1:11" x14ac:dyDescent="0.25">
      <c r="A551" s="1" t="s">
        <v>1339</v>
      </c>
      <c r="B551" s="1" t="s">
        <v>1340</v>
      </c>
      <c r="C551" s="1" t="s">
        <v>568</v>
      </c>
      <c r="D551" s="1" t="s">
        <v>1587</v>
      </c>
      <c r="E551" s="1" t="s">
        <v>41</v>
      </c>
      <c r="F551" s="1" t="s">
        <v>1303</v>
      </c>
      <c r="G551" s="1" t="s">
        <v>1303</v>
      </c>
      <c r="H551" s="1"/>
      <c r="I551" s="1"/>
      <c r="J551" s="1" t="s">
        <v>19</v>
      </c>
      <c r="K551" s="1" t="s">
        <v>18</v>
      </c>
    </row>
    <row r="552" spans="1:11" x14ac:dyDescent="0.25">
      <c r="A552" s="1" t="s">
        <v>1341</v>
      </c>
      <c r="B552" s="1" t="s">
        <v>1342</v>
      </c>
      <c r="C552" s="1" t="s">
        <v>1</v>
      </c>
      <c r="D552" s="1" t="s">
        <v>1890</v>
      </c>
      <c r="E552" s="1" t="s">
        <v>41</v>
      </c>
      <c r="F552" s="1" t="s">
        <v>1279</v>
      </c>
      <c r="G552" s="1" t="s">
        <v>1279</v>
      </c>
      <c r="H552" s="1"/>
      <c r="I552" s="1"/>
      <c r="J552" s="1" t="s">
        <v>19</v>
      </c>
      <c r="K552" s="1" t="s">
        <v>18</v>
      </c>
    </row>
    <row r="553" spans="1:11" x14ac:dyDescent="0.25">
      <c r="A553" s="1" t="s">
        <v>1343</v>
      </c>
      <c r="B553" s="1" t="s">
        <v>1344</v>
      </c>
      <c r="C553" s="1" t="s">
        <v>568</v>
      </c>
      <c r="D553" s="1" t="s">
        <v>1689</v>
      </c>
      <c r="E553" s="1" t="s">
        <v>41</v>
      </c>
      <c r="F553" s="1" t="s">
        <v>40</v>
      </c>
      <c r="G553" s="1" t="s">
        <v>40</v>
      </c>
      <c r="H553" s="1"/>
      <c r="I553" s="1"/>
      <c r="J553" s="1" t="s">
        <v>19</v>
      </c>
      <c r="K553" s="1" t="s">
        <v>18</v>
      </c>
    </row>
    <row r="554" spans="1:11" x14ac:dyDescent="0.25">
      <c r="A554" s="1" t="s">
        <v>1345</v>
      </c>
      <c r="B554" s="1" t="s">
        <v>1346</v>
      </c>
      <c r="C554" s="1" t="s">
        <v>568</v>
      </c>
      <c r="D554" s="1" t="s">
        <v>1891</v>
      </c>
      <c r="E554" s="1" t="s">
        <v>41</v>
      </c>
      <c r="F554" s="1" t="s">
        <v>40</v>
      </c>
      <c r="G554" s="1" t="s">
        <v>40</v>
      </c>
      <c r="H554" s="1"/>
      <c r="I554" s="1"/>
      <c r="J554" s="1" t="s">
        <v>19</v>
      </c>
      <c r="K554" s="1" t="s">
        <v>18</v>
      </c>
    </row>
    <row r="555" spans="1:11" x14ac:dyDescent="0.25">
      <c r="A555" s="1" t="s">
        <v>1347</v>
      </c>
      <c r="B555" s="1" t="s">
        <v>1348</v>
      </c>
      <c r="C555" s="1" t="s">
        <v>231</v>
      </c>
      <c r="D555" s="1" t="s">
        <v>1573</v>
      </c>
      <c r="E555" s="1" t="s">
        <v>41</v>
      </c>
      <c r="F555" s="1" t="s">
        <v>1279</v>
      </c>
      <c r="G555" s="1" t="s">
        <v>1279</v>
      </c>
      <c r="H555" s="1"/>
      <c r="I555" s="1"/>
      <c r="J555" s="1" t="s">
        <v>19</v>
      </c>
      <c r="K555" s="1" t="s">
        <v>18</v>
      </c>
    </row>
    <row r="556" spans="1:11" x14ac:dyDescent="0.25">
      <c r="A556" s="1" t="s">
        <v>1349</v>
      </c>
      <c r="B556" s="1" t="s">
        <v>1350</v>
      </c>
      <c r="C556" s="1" t="s">
        <v>634</v>
      </c>
      <c r="D556" s="1" t="s">
        <v>1892</v>
      </c>
      <c r="E556" s="1" t="s">
        <v>41</v>
      </c>
      <c r="F556" s="1" t="s">
        <v>40</v>
      </c>
      <c r="G556" s="1" t="s">
        <v>40</v>
      </c>
      <c r="H556" s="1"/>
      <c r="I556" s="1"/>
      <c r="J556" s="1" t="s">
        <v>19</v>
      </c>
      <c r="K556" s="1" t="s">
        <v>18</v>
      </c>
    </row>
    <row r="557" spans="1:11" x14ac:dyDescent="0.25">
      <c r="A557" s="1" t="s">
        <v>1351</v>
      </c>
      <c r="B557" s="1" t="s">
        <v>1352</v>
      </c>
      <c r="C557" s="1" t="s">
        <v>1300</v>
      </c>
      <c r="D557" s="1" t="s">
        <v>1893</v>
      </c>
      <c r="E557" s="1" t="s">
        <v>41</v>
      </c>
      <c r="F557" s="1" t="s">
        <v>1279</v>
      </c>
      <c r="G557" s="1" t="s">
        <v>1279</v>
      </c>
      <c r="H557" s="1"/>
      <c r="I557" s="1"/>
      <c r="J557" s="1" t="s">
        <v>19</v>
      </c>
      <c r="K557" s="1" t="s">
        <v>18</v>
      </c>
    </row>
    <row r="558" spans="1:11" x14ac:dyDescent="0.25">
      <c r="A558" s="1" t="s">
        <v>1353</v>
      </c>
      <c r="B558" s="1" t="s">
        <v>1354</v>
      </c>
      <c r="C558" s="1" t="s">
        <v>1894</v>
      </c>
      <c r="D558" s="1" t="s">
        <v>1895</v>
      </c>
      <c r="E558" s="1" t="s">
        <v>41</v>
      </c>
      <c r="F558" s="1" t="s">
        <v>40</v>
      </c>
      <c r="G558" s="1" t="s">
        <v>40</v>
      </c>
      <c r="H558" s="1"/>
      <c r="I558" s="1"/>
      <c r="J558" s="1" t="s">
        <v>19</v>
      </c>
      <c r="K558" s="1" t="s">
        <v>18</v>
      </c>
    </row>
    <row r="559" spans="1:11" x14ac:dyDescent="0.25">
      <c r="A559" s="1" t="s">
        <v>1355</v>
      </c>
      <c r="B559" s="1" t="s">
        <v>1356</v>
      </c>
      <c r="C559" s="1" t="s">
        <v>547</v>
      </c>
      <c r="D559" s="1" t="s">
        <v>1814</v>
      </c>
      <c r="E559" s="1" t="s">
        <v>41</v>
      </c>
      <c r="F559" s="1" t="s">
        <v>40</v>
      </c>
      <c r="G559" s="1" t="s">
        <v>40</v>
      </c>
      <c r="H559" s="1"/>
      <c r="I559" s="1"/>
      <c r="J559" s="1" t="s">
        <v>19</v>
      </c>
      <c r="K559" s="1" t="s">
        <v>18</v>
      </c>
    </row>
    <row r="560" spans="1:11" x14ac:dyDescent="0.25">
      <c r="A560" s="1" t="s">
        <v>1357</v>
      </c>
      <c r="B560" s="1" t="s">
        <v>1358</v>
      </c>
      <c r="C560" s="1" t="s">
        <v>146</v>
      </c>
      <c r="D560" s="1" t="s">
        <v>1359</v>
      </c>
      <c r="E560" s="1" t="s">
        <v>41</v>
      </c>
      <c r="F560" s="1" t="s">
        <v>1360</v>
      </c>
      <c r="G560" s="1" t="s">
        <v>1360</v>
      </c>
      <c r="H560" s="1"/>
      <c r="I560" s="1"/>
      <c r="J560" s="1" t="s">
        <v>19</v>
      </c>
      <c r="K560" s="1" t="s">
        <v>18</v>
      </c>
    </row>
    <row r="561" spans="1:11" x14ac:dyDescent="0.25">
      <c r="A561" s="1" t="s">
        <v>1361</v>
      </c>
      <c r="B561" s="1" t="s">
        <v>1362</v>
      </c>
      <c r="C561" s="1" t="s">
        <v>231</v>
      </c>
      <c r="D561" s="1" t="s">
        <v>1896</v>
      </c>
      <c r="E561" s="1" t="s">
        <v>41</v>
      </c>
      <c r="F561" s="1" t="s">
        <v>40</v>
      </c>
      <c r="G561" s="1" t="s">
        <v>40</v>
      </c>
      <c r="H561" s="1"/>
      <c r="I561" s="1"/>
      <c r="J561" s="1" t="s">
        <v>19</v>
      </c>
      <c r="K561" s="1" t="s">
        <v>18</v>
      </c>
    </row>
    <row r="562" spans="1:11" x14ac:dyDescent="0.25">
      <c r="A562" s="1" t="s">
        <v>1363</v>
      </c>
      <c r="B562" s="1" t="s">
        <v>1364</v>
      </c>
      <c r="C562" s="1" t="s">
        <v>1</v>
      </c>
      <c r="D562" s="1" t="s">
        <v>1897</v>
      </c>
      <c r="E562" s="1" t="s">
        <v>41</v>
      </c>
      <c r="F562" s="1" t="s">
        <v>40</v>
      </c>
      <c r="G562" s="1" t="s">
        <v>40</v>
      </c>
      <c r="H562" s="1"/>
      <c r="I562" s="1"/>
      <c r="J562" s="1" t="s">
        <v>19</v>
      </c>
      <c r="K562" s="1" t="s">
        <v>18</v>
      </c>
    </row>
    <row r="563" spans="1:11" x14ac:dyDescent="0.25">
      <c r="A563" s="1" t="s">
        <v>1365</v>
      </c>
      <c r="B563" s="1" t="s">
        <v>1366</v>
      </c>
      <c r="C563" s="1" t="s">
        <v>817</v>
      </c>
      <c r="D563" s="1" t="s">
        <v>1649</v>
      </c>
      <c r="E563" s="1" t="s">
        <v>41</v>
      </c>
      <c r="F563" s="1" t="s">
        <v>1360</v>
      </c>
      <c r="G563" s="1" t="s">
        <v>1360</v>
      </c>
      <c r="H563" s="1"/>
      <c r="I563" s="1"/>
      <c r="J563" s="1" t="s">
        <v>19</v>
      </c>
      <c r="K563" s="1" t="s">
        <v>18</v>
      </c>
    </row>
    <row r="564" spans="1:11" x14ac:dyDescent="0.25">
      <c r="A564" s="1" t="s">
        <v>1367</v>
      </c>
      <c r="B564" s="1" t="s">
        <v>1368</v>
      </c>
      <c r="C564" s="1" t="s">
        <v>231</v>
      </c>
      <c r="D564" s="1" t="s">
        <v>1898</v>
      </c>
      <c r="E564" s="1" t="s">
        <v>41</v>
      </c>
      <c r="F564" s="1" t="s">
        <v>40</v>
      </c>
      <c r="G564" s="1" t="s">
        <v>40</v>
      </c>
      <c r="H564" s="1"/>
      <c r="I564" s="1"/>
      <c r="J564" s="1" t="s">
        <v>19</v>
      </c>
      <c r="K564" s="1" t="s">
        <v>18</v>
      </c>
    </row>
    <row r="565" spans="1:11" x14ac:dyDescent="0.25">
      <c r="A565" s="1" t="s">
        <v>1369</v>
      </c>
      <c r="B565" s="1" t="s">
        <v>1370</v>
      </c>
      <c r="C565" s="1" t="s">
        <v>1894</v>
      </c>
      <c r="D565" s="1" t="s">
        <v>1899</v>
      </c>
      <c r="E565" s="1" t="s">
        <v>41</v>
      </c>
      <c r="F565" s="1" t="s">
        <v>40</v>
      </c>
      <c r="G565" s="1" t="s">
        <v>40</v>
      </c>
      <c r="H565" s="1"/>
      <c r="I565" s="1"/>
      <c r="J565" s="1" t="s">
        <v>19</v>
      </c>
      <c r="K565" s="1" t="s">
        <v>18</v>
      </c>
    </row>
    <row r="566" spans="1:11" x14ac:dyDescent="0.25">
      <c r="A566" s="1" t="s">
        <v>1371</v>
      </c>
      <c r="B566" s="1" t="s">
        <v>1372</v>
      </c>
      <c r="C566" s="1" t="s">
        <v>1</v>
      </c>
      <c r="D566" s="1" t="s">
        <v>1818</v>
      </c>
      <c r="E566" s="1" t="s">
        <v>41</v>
      </c>
      <c r="F566" s="1" t="s">
        <v>40</v>
      </c>
      <c r="G566" s="1" t="s">
        <v>40</v>
      </c>
      <c r="H566" s="1"/>
      <c r="I566" s="1"/>
      <c r="J566" s="1" t="s">
        <v>19</v>
      </c>
      <c r="K566" s="1" t="s">
        <v>18</v>
      </c>
    </row>
    <row r="567" spans="1:11" x14ac:dyDescent="0.25">
      <c r="A567" s="1" t="s">
        <v>1373</v>
      </c>
      <c r="B567" s="1" t="s">
        <v>1374</v>
      </c>
      <c r="C567" s="1" t="s">
        <v>231</v>
      </c>
      <c r="D567" s="1" t="s">
        <v>1900</v>
      </c>
      <c r="E567" s="1" t="s">
        <v>41</v>
      </c>
      <c r="F567" s="1" t="s">
        <v>40</v>
      </c>
      <c r="G567" s="1" t="s">
        <v>40</v>
      </c>
      <c r="H567" s="1"/>
      <c r="I567" s="1"/>
      <c r="J567" s="1" t="s">
        <v>19</v>
      </c>
      <c r="K567" s="1" t="s">
        <v>18</v>
      </c>
    </row>
    <row r="568" spans="1:11" x14ac:dyDescent="0.25">
      <c r="A568" s="1" t="s">
        <v>1375</v>
      </c>
      <c r="B568" s="1" t="s">
        <v>1376</v>
      </c>
      <c r="C568" s="1" t="s">
        <v>146</v>
      </c>
      <c r="D568" s="1" t="s">
        <v>1586</v>
      </c>
      <c r="E568" s="1" t="s">
        <v>41</v>
      </c>
      <c r="F568" s="1" t="s">
        <v>1360</v>
      </c>
      <c r="G568" s="1" t="s">
        <v>1360</v>
      </c>
      <c r="H568" s="1"/>
      <c r="I568" s="1"/>
      <c r="J568" s="1" t="s">
        <v>19</v>
      </c>
      <c r="K568" s="1" t="s">
        <v>18</v>
      </c>
    </row>
    <row r="569" spans="1:11" x14ac:dyDescent="0.25">
      <c r="A569" s="1" t="s">
        <v>1377</v>
      </c>
      <c r="B569" s="1" t="s">
        <v>1378</v>
      </c>
      <c r="C569" s="1" t="s">
        <v>156</v>
      </c>
      <c r="D569" s="1" t="s">
        <v>1901</v>
      </c>
      <c r="E569" s="1" t="s">
        <v>41</v>
      </c>
      <c r="F569" s="1" t="s">
        <v>40</v>
      </c>
      <c r="G569" s="1" t="s">
        <v>40</v>
      </c>
      <c r="H569" s="1"/>
      <c r="I569" s="1"/>
      <c r="J569" s="1" t="s">
        <v>19</v>
      </c>
      <c r="K569" s="1" t="s">
        <v>18</v>
      </c>
    </row>
    <row r="570" spans="1:11" x14ac:dyDescent="0.25">
      <c r="A570" s="1" t="s">
        <v>1379</v>
      </c>
      <c r="B570" s="1" t="s">
        <v>1380</v>
      </c>
      <c r="C570" s="1" t="s">
        <v>146</v>
      </c>
      <c r="D570" s="1" t="s">
        <v>1902</v>
      </c>
      <c r="E570" s="1" t="s">
        <v>41</v>
      </c>
      <c r="F570" s="1" t="s">
        <v>1360</v>
      </c>
      <c r="G570" s="1" t="s">
        <v>1360</v>
      </c>
      <c r="H570" s="1"/>
      <c r="I570" s="1"/>
      <c r="J570" s="1" t="s">
        <v>19</v>
      </c>
      <c r="K570" s="1" t="s">
        <v>18</v>
      </c>
    </row>
    <row r="571" spans="1:11" x14ac:dyDescent="0.25">
      <c r="A571" s="1" t="s">
        <v>1381</v>
      </c>
      <c r="B571" s="1" t="s">
        <v>1382</v>
      </c>
      <c r="C571" s="1" t="s">
        <v>817</v>
      </c>
      <c r="D571" s="1" t="s">
        <v>1903</v>
      </c>
      <c r="E571" s="1" t="s">
        <v>41</v>
      </c>
      <c r="F571" s="1" t="s">
        <v>1360</v>
      </c>
      <c r="G571" s="1" t="s">
        <v>1360</v>
      </c>
      <c r="H571" s="1"/>
      <c r="I571" s="1"/>
      <c r="J571" s="1" t="s">
        <v>19</v>
      </c>
      <c r="K571" s="1" t="s">
        <v>51</v>
      </c>
    </row>
    <row r="572" spans="1:11" x14ac:dyDescent="0.25">
      <c r="A572" s="1" t="s">
        <v>1383</v>
      </c>
      <c r="B572" s="1" t="s">
        <v>1384</v>
      </c>
      <c r="C572" s="1" t="s">
        <v>231</v>
      </c>
      <c r="D572" s="1" t="s">
        <v>1662</v>
      </c>
      <c r="E572" s="1" t="s">
        <v>41</v>
      </c>
      <c r="F572" s="1" t="s">
        <v>40</v>
      </c>
      <c r="G572" s="1" t="s">
        <v>40</v>
      </c>
      <c r="H572" s="1"/>
      <c r="I572" s="1"/>
      <c r="J572" s="1" t="s">
        <v>19</v>
      </c>
      <c r="K572" s="1" t="s">
        <v>18</v>
      </c>
    </row>
    <row r="573" spans="1:11" x14ac:dyDescent="0.25">
      <c r="A573" s="1" t="s">
        <v>1385</v>
      </c>
      <c r="B573" s="1" t="s">
        <v>1386</v>
      </c>
      <c r="C573" s="1" t="s">
        <v>146</v>
      </c>
      <c r="D573" s="1" t="s">
        <v>1765</v>
      </c>
      <c r="E573" s="1" t="s">
        <v>41</v>
      </c>
      <c r="F573" s="1" t="s">
        <v>1360</v>
      </c>
      <c r="G573" s="1" t="s">
        <v>1360</v>
      </c>
      <c r="H573" s="1"/>
      <c r="I573" s="1"/>
      <c r="J573" s="1" t="s">
        <v>19</v>
      </c>
      <c r="K573" s="1" t="s">
        <v>18</v>
      </c>
    </row>
    <row r="574" spans="1:11" x14ac:dyDescent="0.25">
      <c r="A574" s="1" t="s">
        <v>1387</v>
      </c>
      <c r="B574" s="1" t="s">
        <v>1388</v>
      </c>
      <c r="C574" s="1" t="s">
        <v>538</v>
      </c>
      <c r="D574" s="1" t="s">
        <v>1904</v>
      </c>
      <c r="E574" s="1" t="s">
        <v>41</v>
      </c>
      <c r="F574" s="1" t="s">
        <v>40</v>
      </c>
      <c r="G574" s="1" t="s">
        <v>40</v>
      </c>
      <c r="H574" s="1"/>
      <c r="I574" s="1"/>
      <c r="J574" s="1" t="s">
        <v>19</v>
      </c>
      <c r="K574" s="1" t="s">
        <v>18</v>
      </c>
    </row>
    <row r="575" spans="1:11" x14ac:dyDescent="0.25">
      <c r="A575" s="1" t="s">
        <v>1389</v>
      </c>
      <c r="B575" s="1" t="s">
        <v>1390</v>
      </c>
      <c r="C575" s="1" t="s">
        <v>247</v>
      </c>
      <c r="D575" s="1" t="s">
        <v>1905</v>
      </c>
      <c r="E575" s="1" t="s">
        <v>41</v>
      </c>
      <c r="F575" s="1" t="s">
        <v>498</v>
      </c>
      <c r="G575" s="1" t="s">
        <v>498</v>
      </c>
      <c r="H575" s="1"/>
      <c r="I575" s="1"/>
      <c r="J575" s="1" t="s">
        <v>19</v>
      </c>
      <c r="K575" s="1" t="s">
        <v>18</v>
      </c>
    </row>
    <row r="576" spans="1:11" x14ac:dyDescent="0.25">
      <c r="A576" s="1" t="s">
        <v>1391</v>
      </c>
      <c r="B576" s="1" t="s">
        <v>1392</v>
      </c>
      <c r="C576" s="1" t="s">
        <v>1235</v>
      </c>
      <c r="D576" s="1" t="s">
        <v>1519</v>
      </c>
      <c r="E576" s="1" t="s">
        <v>41</v>
      </c>
      <c r="F576" s="1" t="s">
        <v>498</v>
      </c>
      <c r="G576" s="1" t="s">
        <v>498</v>
      </c>
      <c r="H576" s="1"/>
      <c r="I576" s="1"/>
      <c r="J576" s="1" t="s">
        <v>19</v>
      </c>
      <c r="K576" s="1" t="s">
        <v>18</v>
      </c>
    </row>
    <row r="577" spans="1:11" x14ac:dyDescent="0.25">
      <c r="A577" s="1" t="s">
        <v>1393</v>
      </c>
      <c r="B577" s="1" t="s">
        <v>1394</v>
      </c>
      <c r="C577" s="1" t="s">
        <v>1242</v>
      </c>
      <c r="D577" s="1" t="s">
        <v>1906</v>
      </c>
      <c r="E577" s="1" t="s">
        <v>41</v>
      </c>
      <c r="F577" s="1" t="s">
        <v>498</v>
      </c>
      <c r="G577" s="1" t="s">
        <v>498</v>
      </c>
      <c r="H577" s="1"/>
      <c r="I577" s="1"/>
      <c r="J577" s="1" t="s">
        <v>19</v>
      </c>
      <c r="K577" s="1" t="s">
        <v>18</v>
      </c>
    </row>
    <row r="578" spans="1:11" x14ac:dyDescent="0.25">
      <c r="A578" s="1" t="s">
        <v>1395</v>
      </c>
      <c r="B578" s="1" t="s">
        <v>1396</v>
      </c>
      <c r="C578" s="1" t="s">
        <v>1242</v>
      </c>
      <c r="D578" s="1" t="s">
        <v>1907</v>
      </c>
      <c r="E578" s="1" t="s">
        <v>41</v>
      </c>
      <c r="F578" s="1" t="s">
        <v>498</v>
      </c>
      <c r="G578" s="1" t="s">
        <v>498</v>
      </c>
      <c r="H578" s="1"/>
      <c r="I578" s="1"/>
      <c r="J578" s="1" t="s">
        <v>19</v>
      </c>
      <c r="K578" s="1" t="s">
        <v>18</v>
      </c>
    </row>
    <row r="579" spans="1:11" x14ac:dyDescent="0.25">
      <c r="A579" s="1" t="s">
        <v>1397</v>
      </c>
      <c r="B579" s="1" t="s">
        <v>1398</v>
      </c>
      <c r="C579" s="1" t="s">
        <v>247</v>
      </c>
      <c r="D579" s="1" t="s">
        <v>1583</v>
      </c>
      <c r="E579" s="1" t="s">
        <v>41</v>
      </c>
      <c r="F579" s="1" t="s">
        <v>498</v>
      </c>
      <c r="G579" s="1" t="s">
        <v>498</v>
      </c>
      <c r="H579" s="1"/>
      <c r="I579" s="1"/>
      <c r="J579" s="1" t="s">
        <v>19</v>
      </c>
      <c r="K579" s="1" t="s">
        <v>18</v>
      </c>
    </row>
    <row r="580" spans="1:11" x14ac:dyDescent="0.25">
      <c r="A580" s="1" t="s">
        <v>1399</v>
      </c>
      <c r="B580" s="1" t="s">
        <v>1400</v>
      </c>
      <c r="C580" s="1" t="s">
        <v>1227</v>
      </c>
      <c r="D580" s="1" t="s">
        <v>1908</v>
      </c>
      <c r="E580" s="1" t="s">
        <v>41</v>
      </c>
      <c r="F580" s="1" t="s">
        <v>498</v>
      </c>
      <c r="G580" s="1" t="s">
        <v>498</v>
      </c>
      <c r="H580" s="1"/>
      <c r="I580" s="1"/>
      <c r="J580" s="1" t="s">
        <v>19</v>
      </c>
      <c r="K580" s="1" t="s">
        <v>18</v>
      </c>
    </row>
    <row r="581" spans="1:11" x14ac:dyDescent="0.25">
      <c r="A581" s="1" t="s">
        <v>1401</v>
      </c>
      <c r="B581" s="1" t="s">
        <v>1402</v>
      </c>
      <c r="C581" s="1" t="s">
        <v>1242</v>
      </c>
      <c r="D581" s="1" t="s">
        <v>1760</v>
      </c>
      <c r="E581" s="1" t="s">
        <v>41</v>
      </c>
      <c r="F581" s="1" t="s">
        <v>498</v>
      </c>
      <c r="G581" s="1" t="s">
        <v>498</v>
      </c>
      <c r="H581" s="1"/>
      <c r="I581" s="1"/>
      <c r="J581" s="1" t="s">
        <v>19</v>
      </c>
      <c r="K581" s="1" t="s">
        <v>18</v>
      </c>
    </row>
    <row r="582" spans="1:11" x14ac:dyDescent="0.25">
      <c r="A582" s="1" t="s">
        <v>1403</v>
      </c>
      <c r="B582" s="1" t="s">
        <v>1404</v>
      </c>
      <c r="C582" s="1" t="s">
        <v>1235</v>
      </c>
      <c r="D582" s="1" t="s">
        <v>1909</v>
      </c>
      <c r="E582" s="1" t="s">
        <v>41</v>
      </c>
      <c r="F582" s="1" t="s">
        <v>498</v>
      </c>
      <c r="G582" s="1" t="s">
        <v>498</v>
      </c>
      <c r="H582" s="1"/>
      <c r="I582" s="1"/>
      <c r="J582" s="1" t="s">
        <v>19</v>
      </c>
      <c r="K582" s="1" t="s">
        <v>18</v>
      </c>
    </row>
    <row r="583" spans="1:11" x14ac:dyDescent="0.25">
      <c r="A583" s="1" t="s">
        <v>1405</v>
      </c>
      <c r="B583" s="1" t="s">
        <v>1406</v>
      </c>
      <c r="C583" s="1" t="s">
        <v>1242</v>
      </c>
      <c r="D583" s="1" t="s">
        <v>1910</v>
      </c>
      <c r="E583" s="1" t="s">
        <v>41</v>
      </c>
      <c r="F583" s="1" t="s">
        <v>498</v>
      </c>
      <c r="G583" s="1" t="s">
        <v>498</v>
      </c>
      <c r="H583" s="1"/>
      <c r="I583" s="1"/>
      <c r="J583" s="1" t="s">
        <v>19</v>
      </c>
      <c r="K583" s="1" t="s">
        <v>18</v>
      </c>
    </row>
    <row r="584" spans="1:11" x14ac:dyDescent="0.25">
      <c r="A584" s="1" t="s">
        <v>1407</v>
      </c>
      <c r="B584" s="1" t="s">
        <v>1408</v>
      </c>
      <c r="C584" s="1" t="s">
        <v>1227</v>
      </c>
      <c r="D584" s="1" t="s">
        <v>1733</v>
      </c>
      <c r="E584" s="1" t="s">
        <v>41</v>
      </c>
      <c r="F584" s="1" t="s">
        <v>498</v>
      </c>
      <c r="G584" s="1" t="s">
        <v>498</v>
      </c>
      <c r="H584" s="1"/>
      <c r="I584" s="1"/>
      <c r="J584" s="1" t="s">
        <v>19</v>
      </c>
      <c r="K584" s="1" t="s">
        <v>18</v>
      </c>
    </row>
    <row r="585" spans="1:11" x14ac:dyDescent="0.25">
      <c r="A585" s="1" t="s">
        <v>1409</v>
      </c>
      <c r="B585" s="1" t="s">
        <v>1410</v>
      </c>
      <c r="C585" s="1" t="s">
        <v>1235</v>
      </c>
      <c r="D585" s="1" t="s">
        <v>1596</v>
      </c>
      <c r="E585" s="1" t="s">
        <v>41</v>
      </c>
      <c r="F585" s="1" t="s">
        <v>498</v>
      </c>
      <c r="G585" s="1" t="s">
        <v>498</v>
      </c>
      <c r="H585" s="1"/>
      <c r="I585" s="1"/>
      <c r="J585" s="1" t="s">
        <v>19</v>
      </c>
      <c r="K585" s="1" t="s">
        <v>18</v>
      </c>
    </row>
    <row r="586" spans="1:11" x14ac:dyDescent="0.25">
      <c r="A586" s="1" t="s">
        <v>1411</v>
      </c>
      <c r="B586" s="1" t="s">
        <v>1412</v>
      </c>
      <c r="C586" s="1" t="s">
        <v>146</v>
      </c>
      <c r="D586" s="1" t="s">
        <v>1911</v>
      </c>
      <c r="E586" s="1" t="s">
        <v>41</v>
      </c>
      <c r="F586" s="1" t="s">
        <v>1360</v>
      </c>
      <c r="G586" s="1" t="s">
        <v>1360</v>
      </c>
      <c r="H586" s="1"/>
      <c r="I586" s="1"/>
      <c r="J586" s="1" t="s">
        <v>19</v>
      </c>
      <c r="K586" s="1" t="s">
        <v>18</v>
      </c>
    </row>
    <row r="587" spans="1:11" x14ac:dyDescent="0.25">
      <c r="A587" s="1" t="s">
        <v>1413</v>
      </c>
      <c r="B587" s="1" t="s">
        <v>1414</v>
      </c>
      <c r="C587" s="1" t="s">
        <v>146</v>
      </c>
      <c r="D587" s="1" t="s">
        <v>1912</v>
      </c>
      <c r="E587" s="1" t="s">
        <v>41</v>
      </c>
      <c r="F587" s="1" t="s">
        <v>1360</v>
      </c>
      <c r="G587" s="1" t="s">
        <v>1360</v>
      </c>
      <c r="H587" s="1"/>
      <c r="I587" s="1"/>
      <c r="J587" s="1" t="s">
        <v>19</v>
      </c>
      <c r="K587" s="1" t="s">
        <v>18</v>
      </c>
    </row>
    <row r="588" spans="1:11" x14ac:dyDescent="0.25">
      <c r="A588" s="1" t="s">
        <v>1415</v>
      </c>
      <c r="B588" s="1" t="s">
        <v>1416</v>
      </c>
      <c r="C588" s="1" t="s">
        <v>146</v>
      </c>
      <c r="D588" s="1" t="s">
        <v>1913</v>
      </c>
      <c r="E588" s="1" t="s">
        <v>41</v>
      </c>
      <c r="F588" s="1" t="s">
        <v>1360</v>
      </c>
      <c r="G588" s="1" t="s">
        <v>1360</v>
      </c>
      <c r="H588" s="1"/>
      <c r="I588" s="1"/>
      <c r="J588" s="1" t="s">
        <v>19</v>
      </c>
      <c r="K588" s="1" t="s">
        <v>18</v>
      </c>
    </row>
    <row r="589" spans="1:11" x14ac:dyDescent="0.25">
      <c r="A589" s="1" t="s">
        <v>1417</v>
      </c>
      <c r="B589" s="1" t="s">
        <v>1418</v>
      </c>
      <c r="C589" s="1" t="s">
        <v>146</v>
      </c>
      <c r="D589" s="1" t="s">
        <v>1569</v>
      </c>
      <c r="E589" s="1" t="s">
        <v>41</v>
      </c>
      <c r="F589" s="1" t="s">
        <v>1360</v>
      </c>
      <c r="G589" s="1" t="s">
        <v>1360</v>
      </c>
      <c r="H589" s="1"/>
      <c r="I589" s="1"/>
      <c r="J589" s="1" t="s">
        <v>19</v>
      </c>
      <c r="K589" s="1" t="s">
        <v>18</v>
      </c>
    </row>
    <row r="590" spans="1:11" x14ac:dyDescent="0.25">
      <c r="A590" s="1" t="s">
        <v>1419</v>
      </c>
      <c r="B590" s="1" t="s">
        <v>1420</v>
      </c>
      <c r="C590" s="1" t="s">
        <v>568</v>
      </c>
      <c r="D590" s="1" t="s">
        <v>1799</v>
      </c>
      <c r="E590" s="1" t="s">
        <v>41</v>
      </c>
      <c r="F590" s="1" t="s">
        <v>1303</v>
      </c>
      <c r="G590" s="1" t="s">
        <v>1303</v>
      </c>
      <c r="H590" s="1"/>
      <c r="I590" s="1"/>
      <c r="J590" s="1" t="s">
        <v>19</v>
      </c>
      <c r="K590" s="1" t="s">
        <v>18</v>
      </c>
    </row>
    <row r="591" spans="1:11" x14ac:dyDescent="0.25">
      <c r="A591" s="1" t="s">
        <v>1421</v>
      </c>
      <c r="B591" s="1" t="s">
        <v>1422</v>
      </c>
      <c r="C591" s="1" t="s">
        <v>1</v>
      </c>
      <c r="D591" s="1" t="s">
        <v>1914</v>
      </c>
      <c r="E591" s="1" t="s">
        <v>41</v>
      </c>
      <c r="F591" s="1" t="s">
        <v>1279</v>
      </c>
      <c r="G591" s="1" t="s">
        <v>1279</v>
      </c>
      <c r="H591" s="1"/>
      <c r="I591" s="1"/>
      <c r="J591" s="1" t="s">
        <v>19</v>
      </c>
      <c r="K591" s="1" t="s">
        <v>18</v>
      </c>
    </row>
    <row r="592" spans="1:11" x14ac:dyDescent="0.25">
      <c r="A592" s="1" t="s">
        <v>1423</v>
      </c>
      <c r="B592" s="1" t="s">
        <v>1424</v>
      </c>
      <c r="C592" s="1" t="s">
        <v>538</v>
      </c>
      <c r="D592" s="1" t="s">
        <v>1915</v>
      </c>
      <c r="E592" s="1" t="s">
        <v>41</v>
      </c>
      <c r="F592" s="1" t="s">
        <v>1279</v>
      </c>
      <c r="G592" s="1" t="s">
        <v>1279</v>
      </c>
      <c r="H592" s="1"/>
      <c r="I592" s="1"/>
      <c r="J592" s="1" t="s">
        <v>19</v>
      </c>
      <c r="K592" s="1" t="s">
        <v>18</v>
      </c>
    </row>
    <row r="593" spans="1:11" x14ac:dyDescent="0.25">
      <c r="A593" s="1" t="s">
        <v>1426</v>
      </c>
      <c r="B593" s="1" t="s">
        <v>1427</v>
      </c>
      <c r="C593" s="1" t="s">
        <v>1300</v>
      </c>
      <c r="D593" s="1" t="s">
        <v>1916</v>
      </c>
      <c r="E593" s="1" t="s">
        <v>41</v>
      </c>
      <c r="F593" s="1" t="s">
        <v>1279</v>
      </c>
      <c r="G593" s="1" t="s">
        <v>1279</v>
      </c>
      <c r="H593" s="1"/>
      <c r="I593" s="1"/>
      <c r="J593" s="1" t="s">
        <v>19</v>
      </c>
      <c r="K593" s="1" t="s">
        <v>18</v>
      </c>
    </row>
    <row r="594" spans="1:11" x14ac:dyDescent="0.25">
      <c r="A594" s="1" t="s">
        <v>1428</v>
      </c>
      <c r="B594" s="1" t="s">
        <v>1429</v>
      </c>
      <c r="C594" s="1" t="s">
        <v>1</v>
      </c>
      <c r="D594" s="1" t="s">
        <v>1648</v>
      </c>
      <c r="E594" s="1" t="s">
        <v>41</v>
      </c>
      <c r="F594" s="1" t="s">
        <v>1279</v>
      </c>
      <c r="G594" s="1" t="s">
        <v>1279</v>
      </c>
      <c r="H594" s="1"/>
      <c r="I594" s="1"/>
      <c r="J594" s="1" t="s">
        <v>19</v>
      </c>
      <c r="K594" s="1" t="s">
        <v>18</v>
      </c>
    </row>
    <row r="595" spans="1:11" x14ac:dyDescent="0.25">
      <c r="A595" s="1" t="s">
        <v>1430</v>
      </c>
      <c r="B595" s="1" t="s">
        <v>1431</v>
      </c>
      <c r="C595" s="1" t="s">
        <v>568</v>
      </c>
      <c r="D595" s="1" t="s">
        <v>1917</v>
      </c>
      <c r="E595" s="1" t="s">
        <v>41</v>
      </c>
      <c r="F595" s="1" t="s">
        <v>1303</v>
      </c>
      <c r="G595" s="1" t="s">
        <v>1303</v>
      </c>
      <c r="H595" s="1"/>
      <c r="I595" s="1"/>
      <c r="J595" s="1" t="s">
        <v>19</v>
      </c>
      <c r="K595" s="1" t="s">
        <v>18</v>
      </c>
    </row>
    <row r="596" spans="1:11" x14ac:dyDescent="0.25">
      <c r="A596" s="1" t="s">
        <v>1432</v>
      </c>
      <c r="B596" s="1" t="s">
        <v>1433</v>
      </c>
      <c r="C596" s="1" t="s">
        <v>203</v>
      </c>
      <c r="D596" s="1" t="s">
        <v>1434</v>
      </c>
      <c r="E596" s="1" t="s">
        <v>41</v>
      </c>
      <c r="F596" s="1" t="s">
        <v>1303</v>
      </c>
      <c r="G596" s="1" t="s">
        <v>1303</v>
      </c>
      <c r="H596" s="1"/>
      <c r="I596" s="1"/>
      <c r="J596" s="1" t="s">
        <v>19</v>
      </c>
      <c r="K596" s="1" t="s">
        <v>18</v>
      </c>
    </row>
    <row r="597" spans="1:11" x14ac:dyDescent="0.25">
      <c r="A597" s="1" t="s">
        <v>1435</v>
      </c>
      <c r="B597" s="1" t="s">
        <v>1436</v>
      </c>
      <c r="C597" s="1" t="s">
        <v>568</v>
      </c>
      <c r="D597" s="1" t="s">
        <v>1882</v>
      </c>
      <c r="E597" s="1" t="s">
        <v>41</v>
      </c>
      <c r="F597" s="1" t="s">
        <v>1303</v>
      </c>
      <c r="G597" s="1" t="s">
        <v>1303</v>
      </c>
      <c r="H597" s="1"/>
      <c r="I597" s="1"/>
      <c r="J597" s="1" t="s">
        <v>19</v>
      </c>
      <c r="K597" s="1" t="s">
        <v>18</v>
      </c>
    </row>
    <row r="598" spans="1:11" x14ac:dyDescent="0.25">
      <c r="A598" s="1" t="s">
        <v>1437</v>
      </c>
      <c r="B598" s="1" t="s">
        <v>1438</v>
      </c>
      <c r="C598" s="1" t="s">
        <v>1894</v>
      </c>
      <c r="D598" s="1" t="s">
        <v>1918</v>
      </c>
      <c r="E598" s="1" t="s">
        <v>41</v>
      </c>
      <c r="F598" s="1" t="s">
        <v>40</v>
      </c>
      <c r="G598" s="1" t="s">
        <v>40</v>
      </c>
      <c r="H598" s="1"/>
      <c r="I598" s="1"/>
      <c r="J598" s="1" t="s">
        <v>19</v>
      </c>
      <c r="K598" s="1" t="s">
        <v>18</v>
      </c>
    </row>
    <row r="599" spans="1:11" x14ac:dyDescent="0.25">
      <c r="A599" s="1" t="s">
        <v>1439</v>
      </c>
      <c r="B599" s="1" t="s">
        <v>1440</v>
      </c>
      <c r="C599" s="1" t="s">
        <v>1</v>
      </c>
      <c r="D599" s="1" t="s">
        <v>1919</v>
      </c>
      <c r="E599" s="1" t="s">
        <v>41</v>
      </c>
      <c r="F599" s="1" t="s">
        <v>1279</v>
      </c>
      <c r="G599" s="1" t="s">
        <v>1279</v>
      </c>
      <c r="H599" s="1"/>
      <c r="I599" s="1"/>
      <c r="J599" s="1" t="s">
        <v>19</v>
      </c>
      <c r="K599" s="1" t="s">
        <v>18</v>
      </c>
    </row>
    <row r="600" spans="1:11" x14ac:dyDescent="0.25">
      <c r="A600" s="1" t="s">
        <v>1441</v>
      </c>
      <c r="B600" s="1" t="s">
        <v>1442</v>
      </c>
      <c r="C600" s="1" t="s">
        <v>634</v>
      </c>
      <c r="D600" s="1" t="s">
        <v>1920</v>
      </c>
      <c r="E600" s="1" t="s">
        <v>41</v>
      </c>
      <c r="F600" s="1" t="s">
        <v>1279</v>
      </c>
      <c r="G600" s="1" t="s">
        <v>1279</v>
      </c>
      <c r="H600" s="1"/>
      <c r="I600" s="1"/>
      <c r="J600" s="1" t="s">
        <v>19</v>
      </c>
      <c r="K600" s="1" t="s">
        <v>18</v>
      </c>
    </row>
    <row r="601" spans="1:11" x14ac:dyDescent="0.25">
      <c r="A601" s="1" t="s">
        <v>1443</v>
      </c>
      <c r="B601" s="1" t="s">
        <v>1444</v>
      </c>
      <c r="C601" s="1" t="s">
        <v>146</v>
      </c>
      <c r="D601" s="1" t="s">
        <v>1906</v>
      </c>
      <c r="E601" s="1" t="s">
        <v>41</v>
      </c>
      <c r="F601" s="1" t="s">
        <v>40</v>
      </c>
      <c r="G601" s="1" t="s">
        <v>40</v>
      </c>
      <c r="H601" s="1"/>
      <c r="I601" s="1"/>
      <c r="J601" s="1" t="s">
        <v>19</v>
      </c>
      <c r="K601" s="1" t="s">
        <v>18</v>
      </c>
    </row>
    <row r="602" spans="1:11" x14ac:dyDescent="0.25">
      <c r="A602" s="1" t="s">
        <v>1445</v>
      </c>
      <c r="B602" s="1" t="s">
        <v>1446</v>
      </c>
      <c r="C602" s="1" t="s">
        <v>1614</v>
      </c>
      <c r="D602" s="1" t="s">
        <v>1921</v>
      </c>
      <c r="E602" s="1" t="s">
        <v>41</v>
      </c>
      <c r="F602" s="1" t="s">
        <v>40</v>
      </c>
      <c r="G602" s="1" t="s">
        <v>40</v>
      </c>
      <c r="H602" s="1"/>
      <c r="I602" s="1"/>
      <c r="J602" s="1" t="s">
        <v>19</v>
      </c>
      <c r="K602" s="1" t="s">
        <v>18</v>
      </c>
    </row>
    <row r="603" spans="1:11" x14ac:dyDescent="0.25">
      <c r="A603" s="1" t="s">
        <v>1447</v>
      </c>
      <c r="B603" s="1" t="s">
        <v>1448</v>
      </c>
      <c r="C603" s="1" t="s">
        <v>1894</v>
      </c>
      <c r="D603" s="1" t="s">
        <v>1922</v>
      </c>
      <c r="E603" s="1" t="s">
        <v>41</v>
      </c>
      <c r="F603" s="1" t="s">
        <v>1279</v>
      </c>
      <c r="G603" s="1" t="s">
        <v>1279</v>
      </c>
      <c r="H603" s="1"/>
      <c r="I603" s="1"/>
      <c r="J603" s="1" t="s">
        <v>19</v>
      </c>
      <c r="K603" s="1" t="s">
        <v>18</v>
      </c>
    </row>
    <row r="604" spans="1:11" x14ac:dyDescent="0.25">
      <c r="A604" s="1" t="s">
        <v>1449</v>
      </c>
      <c r="B604" s="1" t="s">
        <v>1450</v>
      </c>
      <c r="C604" s="1" t="s">
        <v>547</v>
      </c>
      <c r="D604" s="1" t="s">
        <v>1923</v>
      </c>
      <c r="E604" s="1" t="s">
        <v>41</v>
      </c>
      <c r="F604" s="1" t="s">
        <v>1279</v>
      </c>
      <c r="G604" s="1" t="s">
        <v>1279</v>
      </c>
      <c r="H604" s="1"/>
      <c r="I604" s="1"/>
      <c r="J604" s="1" t="s">
        <v>19</v>
      </c>
      <c r="K604" s="1" t="s">
        <v>18</v>
      </c>
    </row>
    <row r="605" spans="1:11" x14ac:dyDescent="0.25">
      <c r="A605" s="1" t="s">
        <v>1451</v>
      </c>
      <c r="B605" s="1" t="s">
        <v>1452</v>
      </c>
      <c r="C605" s="1" t="s">
        <v>547</v>
      </c>
      <c r="D605" s="1" t="s">
        <v>1924</v>
      </c>
      <c r="E605" s="1" t="s">
        <v>41</v>
      </c>
      <c r="F605" s="1" t="s">
        <v>1279</v>
      </c>
      <c r="G605" s="1" t="s">
        <v>1279</v>
      </c>
      <c r="H605" s="1"/>
      <c r="I605" s="1"/>
      <c r="J605" s="1" t="s">
        <v>19</v>
      </c>
      <c r="K605" s="1" t="s">
        <v>18</v>
      </c>
    </row>
    <row r="606" spans="1:11" x14ac:dyDescent="0.25">
      <c r="A606" s="1" t="s">
        <v>1453</v>
      </c>
      <c r="B606" s="1" t="s">
        <v>1454</v>
      </c>
      <c r="C606" s="1" t="s">
        <v>538</v>
      </c>
      <c r="D606" s="1" t="s">
        <v>1925</v>
      </c>
      <c r="E606" s="1" t="s">
        <v>41</v>
      </c>
      <c r="F606" s="1" t="s">
        <v>40</v>
      </c>
      <c r="G606" s="1" t="s">
        <v>40</v>
      </c>
      <c r="H606" s="1"/>
      <c r="I606" s="1"/>
      <c r="J606" s="1" t="s">
        <v>19</v>
      </c>
      <c r="K606" s="1" t="s">
        <v>18</v>
      </c>
    </row>
    <row r="607" spans="1:11" x14ac:dyDescent="0.25">
      <c r="A607" s="1" t="s">
        <v>1455</v>
      </c>
      <c r="B607" s="1" t="s">
        <v>1456</v>
      </c>
      <c r="C607" s="1" t="s">
        <v>634</v>
      </c>
      <c r="D607" s="1" t="s">
        <v>1457</v>
      </c>
      <c r="E607" s="1" t="s">
        <v>41</v>
      </c>
      <c r="F607" s="1" t="s">
        <v>40</v>
      </c>
      <c r="G607" s="1" t="s">
        <v>40</v>
      </c>
      <c r="H607" s="1"/>
      <c r="I607" s="1"/>
      <c r="J607" s="1" t="s">
        <v>19</v>
      </c>
      <c r="K607" s="1" t="s">
        <v>18</v>
      </c>
    </row>
    <row r="608" spans="1:11" x14ac:dyDescent="0.25">
      <c r="A608" s="1" t="s">
        <v>1458</v>
      </c>
      <c r="B608" s="1" t="s">
        <v>1459</v>
      </c>
      <c r="C608" s="1" t="s">
        <v>247</v>
      </c>
      <c r="D608" s="1" t="s">
        <v>1919</v>
      </c>
      <c r="E608" s="1" t="s">
        <v>41</v>
      </c>
      <c r="F608" s="1" t="s">
        <v>40</v>
      </c>
      <c r="G608" s="1" t="s">
        <v>40</v>
      </c>
      <c r="H608" s="1"/>
      <c r="I608" s="1"/>
      <c r="J608" s="1" t="s">
        <v>19</v>
      </c>
      <c r="K608" s="1" t="s">
        <v>18</v>
      </c>
    </row>
    <row r="609" spans="1:11" x14ac:dyDescent="0.25">
      <c r="A609" s="1" t="s">
        <v>1460</v>
      </c>
      <c r="B609" s="1" t="s">
        <v>1461</v>
      </c>
      <c r="C609" s="1" t="s">
        <v>1</v>
      </c>
      <c r="D609" s="1" t="s">
        <v>1926</v>
      </c>
      <c r="E609" s="1" t="s">
        <v>41</v>
      </c>
      <c r="F609" s="1" t="s">
        <v>40</v>
      </c>
      <c r="G609" s="1" t="s">
        <v>40</v>
      </c>
      <c r="H609" s="1"/>
      <c r="I609" s="1"/>
      <c r="J609" s="1" t="s">
        <v>19</v>
      </c>
      <c r="K609" s="1" t="s">
        <v>18</v>
      </c>
    </row>
    <row r="610" spans="1:11" x14ac:dyDescent="0.25">
      <c r="A610" s="1" t="s">
        <v>1462</v>
      </c>
      <c r="B610" s="1" t="s">
        <v>1463</v>
      </c>
      <c r="C610" s="1" t="s">
        <v>634</v>
      </c>
      <c r="D610" s="1" t="s">
        <v>1927</v>
      </c>
      <c r="E610" s="1" t="s">
        <v>41</v>
      </c>
      <c r="F610" s="1" t="s">
        <v>1279</v>
      </c>
      <c r="G610" s="1" t="s">
        <v>1279</v>
      </c>
      <c r="H610" s="1"/>
      <c r="I610" s="1"/>
      <c r="J610" s="1" t="s">
        <v>19</v>
      </c>
      <c r="K610" s="1" t="s">
        <v>18</v>
      </c>
    </row>
    <row r="611" spans="1:11" x14ac:dyDescent="0.25">
      <c r="A611" s="1" t="s">
        <v>1464</v>
      </c>
      <c r="B611" s="1" t="s">
        <v>1465</v>
      </c>
      <c r="C611" s="1" t="s">
        <v>538</v>
      </c>
      <c r="D611" s="1" t="s">
        <v>1928</v>
      </c>
      <c r="E611" s="1" t="s">
        <v>41</v>
      </c>
      <c r="F611" s="1" t="s">
        <v>1279</v>
      </c>
      <c r="G611" s="1" t="s">
        <v>1279</v>
      </c>
      <c r="H611" s="1"/>
      <c r="I611" s="1"/>
      <c r="J611" s="1" t="s">
        <v>19</v>
      </c>
      <c r="K611" s="1" t="s">
        <v>18</v>
      </c>
    </row>
    <row r="612" spans="1:11" x14ac:dyDescent="0.25">
      <c r="A612" s="1" t="s">
        <v>1466</v>
      </c>
      <c r="B612" s="1" t="s">
        <v>1467</v>
      </c>
      <c r="C612" s="1" t="s">
        <v>231</v>
      </c>
      <c r="D612" s="1" t="s">
        <v>1929</v>
      </c>
      <c r="E612" s="1" t="s">
        <v>41</v>
      </c>
      <c r="F612" s="1" t="s">
        <v>40</v>
      </c>
      <c r="G612" s="1" t="s">
        <v>40</v>
      </c>
      <c r="H612" s="1"/>
      <c r="I612" s="1"/>
      <c r="J612" s="1" t="s">
        <v>19</v>
      </c>
      <c r="K612" s="1" t="s">
        <v>18</v>
      </c>
    </row>
    <row r="613" spans="1:11" x14ac:dyDescent="0.25">
      <c r="A613" s="1" t="s">
        <v>1468</v>
      </c>
      <c r="B613" s="1" t="s">
        <v>1469</v>
      </c>
      <c r="C613" s="1" t="s">
        <v>547</v>
      </c>
      <c r="D613" s="1" t="s">
        <v>1930</v>
      </c>
      <c r="E613" s="1" t="s">
        <v>41</v>
      </c>
      <c r="F613" s="1" t="s">
        <v>1279</v>
      </c>
      <c r="G613" s="1" t="s">
        <v>1279</v>
      </c>
      <c r="H613" s="1"/>
      <c r="I613" s="1"/>
      <c r="J613" s="1" t="s">
        <v>19</v>
      </c>
      <c r="K613" s="1" t="s">
        <v>18</v>
      </c>
    </row>
    <row r="614" spans="1:11" x14ac:dyDescent="0.25">
      <c r="A614" s="1" t="s">
        <v>1470</v>
      </c>
      <c r="B614" s="1" t="s">
        <v>1471</v>
      </c>
      <c r="C614" s="1" t="s">
        <v>247</v>
      </c>
      <c r="D614" s="1" t="s">
        <v>1931</v>
      </c>
      <c r="E614" s="1" t="s">
        <v>41</v>
      </c>
      <c r="F614" s="1" t="s">
        <v>40</v>
      </c>
      <c r="G614" s="1" t="s">
        <v>40</v>
      </c>
      <c r="H614" s="1"/>
      <c r="I614" s="1"/>
      <c r="J614" s="1" t="s">
        <v>19</v>
      </c>
      <c r="K614" s="1" t="s">
        <v>18</v>
      </c>
    </row>
    <row r="615" spans="1:11" x14ac:dyDescent="0.25">
      <c r="A615" s="1" t="s">
        <v>1472</v>
      </c>
      <c r="B615" s="1" t="s">
        <v>1473</v>
      </c>
      <c r="C615" s="1" t="s">
        <v>634</v>
      </c>
      <c r="D615" s="1" t="s">
        <v>1474</v>
      </c>
      <c r="E615" s="1" t="s">
        <v>41</v>
      </c>
      <c r="F615" s="1" t="s">
        <v>40</v>
      </c>
      <c r="G615" s="1" t="s">
        <v>40</v>
      </c>
      <c r="H615" s="1"/>
      <c r="I615" s="1"/>
      <c r="J615" s="1" t="s">
        <v>19</v>
      </c>
      <c r="K615" s="1" t="s">
        <v>18</v>
      </c>
    </row>
    <row r="616" spans="1:11" x14ac:dyDescent="0.25">
      <c r="A616" s="1" t="s">
        <v>1475</v>
      </c>
      <c r="B616" s="1" t="s">
        <v>1476</v>
      </c>
      <c r="C616" s="1" t="s">
        <v>634</v>
      </c>
      <c r="D616" s="1" t="s">
        <v>1932</v>
      </c>
      <c r="E616" s="1" t="s">
        <v>41</v>
      </c>
      <c r="F616" s="1" t="s">
        <v>40</v>
      </c>
      <c r="G616" s="1" t="s">
        <v>40</v>
      </c>
      <c r="H616" s="1"/>
      <c r="I616" s="1"/>
      <c r="J616" s="1" t="s">
        <v>19</v>
      </c>
      <c r="K616" s="1" t="s">
        <v>18</v>
      </c>
    </row>
    <row r="617" spans="1:11" x14ac:dyDescent="0.25">
      <c r="A617" s="1" t="s">
        <v>1477</v>
      </c>
      <c r="B617" s="1" t="s">
        <v>1478</v>
      </c>
      <c r="C617" s="1" t="s">
        <v>568</v>
      </c>
      <c r="D617" s="1" t="s">
        <v>1933</v>
      </c>
      <c r="E617" s="1" t="s">
        <v>41</v>
      </c>
      <c r="F617" s="1" t="s">
        <v>1303</v>
      </c>
      <c r="G617" s="1" t="s">
        <v>1303</v>
      </c>
      <c r="H617" s="1"/>
      <c r="I617" s="1"/>
      <c r="J617" s="1" t="s">
        <v>19</v>
      </c>
      <c r="K617" s="1" t="s">
        <v>18</v>
      </c>
    </row>
    <row r="618" spans="1:11" x14ac:dyDescent="0.25">
      <c r="A618" s="1" t="s">
        <v>1479</v>
      </c>
      <c r="B618" s="1" t="s">
        <v>1480</v>
      </c>
      <c r="C618" s="1" t="s">
        <v>568</v>
      </c>
      <c r="D618" s="1" t="s">
        <v>1934</v>
      </c>
      <c r="E618" s="1" t="s">
        <v>41</v>
      </c>
      <c r="F618" s="1" t="s">
        <v>1303</v>
      </c>
      <c r="G618" s="1" t="s">
        <v>1303</v>
      </c>
      <c r="H618" s="1"/>
      <c r="I618" s="1"/>
      <c r="J618" s="1" t="s">
        <v>19</v>
      </c>
      <c r="K618" s="1" t="s">
        <v>18</v>
      </c>
    </row>
    <row r="619" spans="1:11" x14ac:dyDescent="0.25">
      <c r="A619" s="1" t="s">
        <v>1481</v>
      </c>
      <c r="B619" s="1" t="s">
        <v>1482</v>
      </c>
      <c r="C619" s="1" t="s">
        <v>568</v>
      </c>
      <c r="D619" s="1" t="s">
        <v>1884</v>
      </c>
      <c r="E619" s="1" t="s">
        <v>41</v>
      </c>
      <c r="F619" s="1" t="s">
        <v>1303</v>
      </c>
      <c r="G619" s="1" t="s">
        <v>1303</v>
      </c>
      <c r="H619" s="1"/>
      <c r="I619" s="1"/>
      <c r="J619" s="1" t="s">
        <v>19</v>
      </c>
      <c r="K619" s="1" t="s">
        <v>18</v>
      </c>
    </row>
    <row r="620" spans="1:11" x14ac:dyDescent="0.25">
      <c r="A620" s="1" t="s">
        <v>1483</v>
      </c>
      <c r="B620" s="1" t="s">
        <v>1484</v>
      </c>
      <c r="C620" s="1" t="s">
        <v>547</v>
      </c>
      <c r="D620" s="1" t="s">
        <v>1485</v>
      </c>
      <c r="E620" s="1" t="s">
        <v>41</v>
      </c>
      <c r="F620" s="1" t="s">
        <v>40</v>
      </c>
      <c r="G620" s="1" t="s">
        <v>40</v>
      </c>
      <c r="H620" s="1"/>
      <c r="I620" s="1"/>
      <c r="J620" s="1" t="s">
        <v>19</v>
      </c>
      <c r="K620" s="1" t="s">
        <v>18</v>
      </c>
    </row>
    <row r="621" spans="1:11" x14ac:dyDescent="0.25">
      <c r="A621" s="1" t="s">
        <v>1486</v>
      </c>
      <c r="B621" s="1" t="s">
        <v>1487</v>
      </c>
      <c r="C621" s="1" t="s">
        <v>70</v>
      </c>
      <c r="D621" s="1" t="s">
        <v>1488</v>
      </c>
      <c r="E621" s="1" t="s">
        <v>39</v>
      </c>
      <c r="F621" s="1" t="s">
        <v>37</v>
      </c>
      <c r="G621" s="1" t="s">
        <v>37</v>
      </c>
      <c r="H621" s="1"/>
      <c r="I621" s="1"/>
      <c r="J621" s="1" t="s">
        <v>19</v>
      </c>
      <c r="K621" s="1" t="s">
        <v>18</v>
      </c>
    </row>
    <row r="622" spans="1:11" x14ac:dyDescent="0.25">
      <c r="A622" s="1" t="s">
        <v>1489</v>
      </c>
      <c r="B622" s="1" t="s">
        <v>1490</v>
      </c>
      <c r="C622" s="1" t="s">
        <v>415</v>
      </c>
      <c r="D622" s="1" t="s">
        <v>1935</v>
      </c>
      <c r="E622" s="1" t="s">
        <v>39</v>
      </c>
      <c r="F622" s="1" t="s">
        <v>37</v>
      </c>
      <c r="G622" s="1" t="s">
        <v>37</v>
      </c>
      <c r="H622" s="1"/>
      <c r="I622" s="1"/>
      <c r="J622" s="1" t="s">
        <v>19</v>
      </c>
      <c r="K622" s="1" t="s">
        <v>18</v>
      </c>
    </row>
    <row r="623" spans="1:11" x14ac:dyDescent="0.25">
      <c r="A623" s="1" t="s">
        <v>1491</v>
      </c>
      <c r="B623" s="1" t="s">
        <v>1492</v>
      </c>
      <c r="C623" s="1" t="s">
        <v>997</v>
      </c>
      <c r="D623" s="1" t="s">
        <v>1493</v>
      </c>
      <c r="E623" s="1" t="s">
        <v>39</v>
      </c>
      <c r="F623" s="1" t="s">
        <v>37</v>
      </c>
      <c r="G623" s="1" t="s">
        <v>37</v>
      </c>
      <c r="H623" s="1"/>
      <c r="I623" s="1"/>
      <c r="J623" s="1" t="s">
        <v>19</v>
      </c>
      <c r="K623" s="1" t="s">
        <v>18</v>
      </c>
    </row>
    <row r="624" spans="1:11" x14ac:dyDescent="0.25">
      <c r="A624" s="1" t="s">
        <v>1494</v>
      </c>
      <c r="B624" s="1" t="s">
        <v>1495</v>
      </c>
      <c r="C624" s="1" t="s">
        <v>97</v>
      </c>
      <c r="D624" s="1" t="s">
        <v>1496</v>
      </c>
      <c r="E624" s="1" t="s">
        <v>39</v>
      </c>
      <c r="F624" s="1" t="s">
        <v>40</v>
      </c>
      <c r="G624" s="1" t="s">
        <v>40</v>
      </c>
      <c r="H624" s="1"/>
      <c r="I624" s="1"/>
      <c r="J624" s="1" t="s">
        <v>19</v>
      </c>
      <c r="K624" s="1" t="s">
        <v>18</v>
      </c>
    </row>
    <row r="625" spans="1:11" x14ac:dyDescent="0.25">
      <c r="A625" s="1" t="s">
        <v>1497</v>
      </c>
      <c r="B625" s="1" t="s">
        <v>1498</v>
      </c>
      <c r="C625" s="1" t="s">
        <v>807</v>
      </c>
      <c r="D625" s="1" t="s">
        <v>1499</v>
      </c>
      <c r="E625" s="1" t="s">
        <v>39</v>
      </c>
      <c r="F625" s="1" t="s">
        <v>37</v>
      </c>
      <c r="G625" s="1" t="s">
        <v>37</v>
      </c>
      <c r="H625" s="1"/>
      <c r="I625" s="1"/>
      <c r="J625" s="1" t="s">
        <v>19</v>
      </c>
      <c r="K625" s="1" t="s">
        <v>18</v>
      </c>
    </row>
    <row r="626" spans="1:11" x14ac:dyDescent="0.25">
      <c r="A626" s="1" t="s">
        <v>1500</v>
      </c>
      <c r="B626" s="1" t="s">
        <v>1501</v>
      </c>
      <c r="C626" s="1" t="s">
        <v>997</v>
      </c>
      <c r="D626" s="1" t="s">
        <v>1936</v>
      </c>
      <c r="E626" s="1" t="s">
        <v>39</v>
      </c>
      <c r="F626" s="1" t="s">
        <v>37</v>
      </c>
      <c r="G626" s="1" t="s">
        <v>37</v>
      </c>
      <c r="H626" s="1"/>
      <c r="I626" s="1"/>
      <c r="J626" s="1" t="s">
        <v>19</v>
      </c>
      <c r="K626" s="1" t="s">
        <v>18</v>
      </c>
    </row>
    <row r="627" spans="1:11" x14ac:dyDescent="0.25">
      <c r="A627" s="1" t="s">
        <v>1502</v>
      </c>
      <c r="B627" s="1" t="s">
        <v>1503</v>
      </c>
      <c r="C627" s="1" t="s">
        <v>174</v>
      </c>
      <c r="D627" s="1" t="s">
        <v>1504</v>
      </c>
      <c r="E627" s="1" t="s">
        <v>39</v>
      </c>
      <c r="F627" s="1" t="s">
        <v>37</v>
      </c>
      <c r="G627" s="1" t="s">
        <v>37</v>
      </c>
      <c r="H627" s="1"/>
      <c r="I627" s="1"/>
      <c r="J627" s="1" t="s">
        <v>19</v>
      </c>
      <c r="K627" s="1" t="s">
        <v>18</v>
      </c>
    </row>
    <row r="628" spans="1:11" x14ac:dyDescent="0.25">
      <c r="A628" s="1" t="s">
        <v>1505</v>
      </c>
      <c r="B628" s="1" t="s">
        <v>1506</v>
      </c>
      <c r="C628" s="1" t="s">
        <v>807</v>
      </c>
      <c r="D628" s="1" t="s">
        <v>1507</v>
      </c>
      <c r="E628" s="1" t="s">
        <v>39</v>
      </c>
      <c r="F628" s="1" t="s">
        <v>37</v>
      </c>
      <c r="G628" s="1" t="s">
        <v>37</v>
      </c>
      <c r="H628" s="1"/>
      <c r="I628" s="1"/>
      <c r="J628" s="1" t="s">
        <v>19</v>
      </c>
      <c r="K628" s="1" t="s">
        <v>18</v>
      </c>
    </row>
    <row r="629" spans="1:11" x14ac:dyDescent="0.25">
      <c r="A629" s="1" t="s">
        <v>1508</v>
      </c>
      <c r="B629" s="1" t="s">
        <v>1509</v>
      </c>
      <c r="C629" s="1" t="s">
        <v>50</v>
      </c>
      <c r="D629" s="1" t="s">
        <v>1510</v>
      </c>
      <c r="E629" s="1" t="s">
        <v>39</v>
      </c>
      <c r="F629" s="1" t="s">
        <v>37</v>
      </c>
      <c r="G629" s="1" t="s">
        <v>37</v>
      </c>
      <c r="H629" s="1"/>
      <c r="I629" s="1"/>
      <c r="J629" s="1" t="s">
        <v>19</v>
      </c>
      <c r="K629" s="1" t="s">
        <v>18</v>
      </c>
    </row>
    <row r="630" spans="1:11" x14ac:dyDescent="0.25">
      <c r="A630" s="1" t="s">
        <v>1511</v>
      </c>
      <c r="B630" s="1" t="s">
        <v>1512</v>
      </c>
      <c r="C630" s="1" t="s">
        <v>30</v>
      </c>
      <c r="D630" s="1" t="s">
        <v>1937</v>
      </c>
      <c r="E630" s="1" t="s">
        <v>39</v>
      </c>
      <c r="F630" s="1" t="s">
        <v>37</v>
      </c>
      <c r="G630" s="1" t="s">
        <v>37</v>
      </c>
      <c r="H630" s="1"/>
      <c r="I630" s="1"/>
      <c r="J630" s="1" t="s">
        <v>19</v>
      </c>
      <c r="K630" s="1" t="s">
        <v>18</v>
      </c>
    </row>
    <row r="631" spans="1:11" x14ac:dyDescent="0.25">
      <c r="A631" s="1" t="s">
        <v>1513</v>
      </c>
      <c r="B631" s="1" t="s">
        <v>1514</v>
      </c>
      <c r="C631" s="1" t="s">
        <v>29</v>
      </c>
      <c r="D631" s="1" t="s">
        <v>1515</v>
      </c>
      <c r="E631" s="1" t="s">
        <v>39</v>
      </c>
      <c r="F631" s="1" t="s">
        <v>40</v>
      </c>
      <c r="G631" s="1" t="s">
        <v>40</v>
      </c>
      <c r="H631" s="1"/>
      <c r="I631" s="1"/>
      <c r="J631" s="1" t="s">
        <v>19</v>
      </c>
      <c r="K631" s="1" t="s">
        <v>18</v>
      </c>
    </row>
    <row r="632" spans="1:11" x14ac:dyDescent="0.25">
      <c r="A632" s="1" t="s">
        <v>1516</v>
      </c>
      <c r="B632" s="1" t="s">
        <v>1517</v>
      </c>
      <c r="C632" s="1" t="s">
        <v>28</v>
      </c>
      <c r="D632" s="1" t="s">
        <v>1518</v>
      </c>
      <c r="E632" s="1" t="s">
        <v>39</v>
      </c>
      <c r="F632" s="1" t="s">
        <v>42</v>
      </c>
      <c r="G632" s="1" t="s">
        <v>42</v>
      </c>
      <c r="H632" s="1"/>
      <c r="I632" s="1"/>
      <c r="J632" s="1" t="s">
        <v>19</v>
      </c>
      <c r="K632" s="1" t="s">
        <v>18</v>
      </c>
    </row>
  </sheetData>
  <sheetProtection selectLockedCells="1"/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32877-51C0-4318-BCED-A7474B713ED0}">
  <sheetPr codeName="Sheet2"/>
  <dimension ref="A1:P94"/>
  <sheetViews>
    <sheetView tabSelected="1" zoomScale="120" zoomScaleNormal="120" workbookViewId="0"/>
  </sheetViews>
  <sheetFormatPr defaultRowHeight="16.5" thickTop="1" thickBottom="1" x14ac:dyDescent="0.3"/>
  <cols>
    <col min="1" max="1" width="27" bestFit="1" customWidth="1"/>
    <col min="2" max="2" width="12.140625" customWidth="1"/>
    <col min="4" max="4" width="31.140625" style="4" bestFit="1" customWidth="1"/>
    <col min="5" max="5" width="6.85546875" style="5" bestFit="1" customWidth="1"/>
    <col min="6" max="6" width="4.140625" bestFit="1" customWidth="1"/>
    <col min="7" max="7" width="29" style="3" customWidth="1"/>
    <col min="8" max="8" width="6.85546875" style="5" bestFit="1" customWidth="1"/>
    <col min="9" max="9" width="4.140625" bestFit="1" customWidth="1"/>
    <col min="10" max="10" width="18.85546875" style="17" customWidth="1"/>
    <col min="11" max="11" width="9.7109375" customWidth="1"/>
    <col min="12" max="12" width="7.42578125" customWidth="1"/>
    <col min="14" max="14" width="9.140625" style="3"/>
    <col min="15" max="15" width="31.42578125" style="5" bestFit="1" customWidth="1"/>
  </cols>
  <sheetData>
    <row r="1" spans="1:16" ht="15.75" thickBot="1" x14ac:dyDescent="0.3">
      <c r="D1" s="10" t="s">
        <v>1938</v>
      </c>
      <c r="E1" s="12" t="s">
        <v>21</v>
      </c>
      <c r="G1" s="14" t="s">
        <v>1939</v>
      </c>
      <c r="H1" s="12" t="s">
        <v>21</v>
      </c>
      <c r="J1" s="18" t="s">
        <v>22</v>
      </c>
      <c r="K1" s="14" t="s">
        <v>1940</v>
      </c>
      <c r="L1" s="14"/>
      <c r="N1" s="12" t="s">
        <v>23</v>
      </c>
      <c r="O1" s="12"/>
      <c r="P1" s="12"/>
    </row>
    <row r="2" spans="1:16" thickTop="1" thickBot="1" x14ac:dyDescent="0.3">
      <c r="A2" s="6" t="s">
        <v>15</v>
      </c>
      <c r="B2" s="2">
        <f>COUNTA(SOURCE!A:A)</f>
        <v>632</v>
      </c>
      <c r="D2" s="11"/>
      <c r="E2" s="13"/>
      <c r="G2" s="15"/>
      <c r="H2" s="13"/>
      <c r="J2" s="19"/>
      <c r="K2" s="14"/>
      <c r="L2" s="14"/>
      <c r="N2" s="12"/>
      <c r="O2" s="12"/>
      <c r="P2" s="12"/>
    </row>
    <row r="3" spans="1:16" thickTop="1" thickBot="1" x14ac:dyDescent="0.3">
      <c r="A3" s="6" t="s">
        <v>16</v>
      </c>
      <c r="B3" s="2">
        <f>COUNT(_xlfn.UNIQUE(SOURCE!Q:Q))</f>
        <v>0</v>
      </c>
      <c r="D3" s="22" t="s">
        <v>1942</v>
      </c>
      <c r="E3" s="23"/>
      <c r="F3" s="2">
        <f>COUNT(E:E)</f>
        <v>17</v>
      </c>
      <c r="G3" s="22" t="s">
        <v>1942</v>
      </c>
      <c r="H3" s="23"/>
      <c r="I3" s="2">
        <f>COUNT(H:H)</f>
        <v>36</v>
      </c>
      <c r="J3" s="22" t="s">
        <v>1942</v>
      </c>
      <c r="K3" s="23"/>
      <c r="L3" s="2">
        <f>COUNT(K:K)</f>
        <v>89</v>
      </c>
      <c r="N3" s="22" t="s">
        <v>1942</v>
      </c>
      <c r="O3" s="23"/>
      <c r="P3" s="2">
        <f>COUNT(N:N)</f>
        <v>0</v>
      </c>
    </row>
    <row r="4" spans="1:16" thickTop="1" thickBot="1" x14ac:dyDescent="0.3">
      <c r="A4" s="6" t="s">
        <v>17</v>
      </c>
      <c r="B4" s="2">
        <f>COUNT(_xlfn.UNIQUE(SOURCE!R:R))</f>
        <v>0</v>
      </c>
      <c r="D4" s="22" t="s">
        <v>1941</v>
      </c>
      <c r="E4" s="23"/>
      <c r="F4" s="2">
        <f>SUM(E:E)</f>
        <v>632</v>
      </c>
      <c r="G4" s="22" t="s">
        <v>1941</v>
      </c>
      <c r="H4" s="23"/>
      <c r="I4" s="2">
        <f>SUM(H:H)</f>
        <v>632</v>
      </c>
      <c r="J4" s="22" t="s">
        <v>1941</v>
      </c>
      <c r="K4" s="23"/>
      <c r="L4" s="2">
        <f>SUM(K:K)</f>
        <v>590</v>
      </c>
      <c r="N4" s="3" t="str" cm="1">
        <f t="array" ref="N4:N91">TEXT(IFERROR(_xlfn._xlws.SORT(_xlfn.NUMBERVALUE(_xlfn.UNIQUE(SOURCE!C:C))),_xlfn._xlws.SORT(_xlfn.UNIQUE(SOURCE!C:C))),"0")</f>
        <v>0</v>
      </c>
      <c r="O4" s="5" t="e" cm="1">
        <f t="array" ref="O4">INDEX(SOURCE!E:E,MODE(IF(SOURCE!C:C=Sheet1!N4,MATCH(SOURCE!E:E,SOURCE!E:E,0))))</f>
        <v>#N/A</v>
      </c>
    </row>
    <row r="5" spans="1:16" ht="32.1" customHeight="1" thickTop="1" thickBot="1" x14ac:dyDescent="0.3">
      <c r="A5" s="6" t="s">
        <v>44</v>
      </c>
      <c r="B5" s="9">
        <f>L4/I4</f>
        <v>0.93354430379746833</v>
      </c>
      <c r="D5" s="22" t="s">
        <v>1944</v>
      </c>
      <c r="E5" s="23"/>
      <c r="F5" s="2">
        <f>B2-F4</f>
        <v>0</v>
      </c>
      <c r="G5" s="22" t="s">
        <v>1945</v>
      </c>
      <c r="H5" s="23"/>
      <c r="I5" s="2">
        <f>B2-I4</f>
        <v>0</v>
      </c>
      <c r="J5" s="24" t="s">
        <v>1943</v>
      </c>
      <c r="K5" s="25"/>
      <c r="L5" s="2">
        <f>B2-L4</f>
        <v>42</v>
      </c>
      <c r="N5" s="3" t="str">
        <v>1</v>
      </c>
      <c r="O5" s="5" t="str" cm="1">
        <f t="array" ref="O5">INDEX(SOURCE!E:E,MODE(IF(SOURCE!C:C=Sheet1!N5,MATCH(SOURCE!E:E,SOURCE!E:E,0))))</f>
        <v>ADL/TransBus Enviro300</v>
      </c>
    </row>
    <row r="6" spans="1:16" thickTop="1" thickBot="1" x14ac:dyDescent="0.3">
      <c r="A6" s="8" t="s">
        <v>25</v>
      </c>
      <c r="D6" s="4" t="str" cm="1">
        <f t="array" ref="D6:D22">_xlfn._xlws.SORT(_xlfn.UNIQUE(SOURCE!E:E))</f>
        <v>ADL Enviro200</v>
      </c>
      <c r="E6" s="5">
        <f>COUNTIF(SOURCE!E:E,Sheet1!D6)</f>
        <v>5</v>
      </c>
      <c r="G6" s="4" t="str" cm="1">
        <f t="array" ref="G6:G41">_xlfn._xlws.SORT(_xlfn.UNIQUE(SOURCE!F:F))</f>
        <v>Fuchsia front</v>
      </c>
      <c r="H6" s="5">
        <f>COUNTIF(SOURCE!F:F,Sheet1!G6)</f>
        <v>2</v>
      </c>
      <c r="J6" s="16" t="str" cm="1">
        <f t="array" ref="J6:J93">TEXT(IFERROR(_xlfn._xlws.SORT(_xlfn.NUMBERVALUE(_xlfn.UNIQUE(SOURCE!C:C))),_xlfn._xlws.SORT(_xlfn.UNIQUE(SOURCE!C:C))),"0")</f>
        <v>0</v>
      </c>
      <c r="K6" s="5">
        <f>COUNTIF(SOURCE!C:C,Sheet1!J6)</f>
        <v>0</v>
      </c>
      <c r="N6" s="3" t="str">
        <v>2</v>
      </c>
      <c r="O6" s="5" t="str" cm="1">
        <f t="array" ref="O6">INDEX(SOURCE!E:E,MODE(IF(SOURCE!C:C=Sheet1!N6,MATCH(SOURCE!E:E,SOURCE!E:E,0))))</f>
        <v>Volvo B9TL Wright Eclipse Gemini</v>
      </c>
    </row>
    <row r="7" spans="1:16" thickTop="1" thickBot="1" x14ac:dyDescent="0.3">
      <c r="A7" s="20" cm="1">
        <f t="array" ref="A7">Table_0_Refresh_Time[Table 0 Refresh Time]</f>
        <v>44808.368340370369</v>
      </c>
      <c r="B7" s="20"/>
      <c r="D7" s="4" t="str">
        <v>ADL Enviro200 MMC</v>
      </c>
      <c r="E7" s="5">
        <f>COUNTIF(SOURCE!E:E,Sheet1!D7)</f>
        <v>93</v>
      </c>
      <c r="G7" s="3" t="str">
        <v>Glasgow 18</v>
      </c>
      <c r="H7" s="5">
        <f>COUNTIF(SOURCE!F:F,Sheet1!G7)</f>
        <v>18</v>
      </c>
      <c r="J7" s="17" t="str">
        <v>1</v>
      </c>
      <c r="K7" s="5">
        <f>COUNTIF(SOURCE!C:C,Sheet1!J7)</f>
        <v>4</v>
      </c>
      <c r="N7" s="3" t="str">
        <v>3</v>
      </c>
      <c r="O7" s="5" t="str" cm="1">
        <f t="array" ref="O7">INDEX(SOURCE!E:E,MODE(IF(SOURCE!C:C=Sheet1!N7,MATCH(SOURCE!E:E,SOURCE!E:E,0))))</f>
        <v>ADL/TransBus Enviro300</v>
      </c>
    </row>
    <row r="8" spans="1:16" thickTop="1" thickBot="1" x14ac:dyDescent="0.3">
      <c r="A8" s="21">
        <f ca="1">NOW()-A7</f>
        <v>1.8506736108975019E-2</v>
      </c>
      <c r="B8" s="21"/>
      <c r="D8" s="4" t="str">
        <v>ADL Enviro400</v>
      </c>
      <c r="E8" s="5">
        <f>COUNTIF(SOURCE!E:E,Sheet1!D8)</f>
        <v>23</v>
      </c>
      <c r="G8" s="3" t="str">
        <v>Glasgow 2</v>
      </c>
      <c r="H8" s="5">
        <f>COUNTIF(SOURCE!F:F,Sheet1!G8)</f>
        <v>25</v>
      </c>
      <c r="J8" s="17" t="str">
        <v>2</v>
      </c>
      <c r="K8" s="5">
        <f>COUNTIF(SOURCE!C:C,Sheet1!J8)</f>
        <v>27</v>
      </c>
      <c r="N8" s="3" t="str">
        <v>4</v>
      </c>
      <c r="O8" s="5" t="str" cm="1">
        <f t="array" ref="O8">INDEX(SOURCE!E:E,MODE(IF(SOURCE!C:C=Sheet1!N8,MATCH(SOURCE!E:E,SOURCE!E:E,0))))</f>
        <v>Volvo B9TL Wright Eclipse Gemini</v>
      </c>
    </row>
    <row r="9" spans="1:16" thickTop="1" thickBot="1" x14ac:dyDescent="0.3">
      <c r="D9" s="4" t="str">
        <v>ADL Enviro400 City</v>
      </c>
      <c r="E9" s="5">
        <f>COUNTIF(SOURCE!E:E,Sheet1!D9)</f>
        <v>10</v>
      </c>
      <c r="G9" s="3" t="str">
        <v>Glasgow 3</v>
      </c>
      <c r="H9" s="5">
        <f>COUNTIF(SOURCE!F:F,Sheet1!G9)</f>
        <v>21</v>
      </c>
      <c r="J9" s="17" t="str">
        <v>3</v>
      </c>
      <c r="K9" s="5">
        <f>COUNTIF(SOURCE!C:C,Sheet1!J9)</f>
        <v>18</v>
      </c>
      <c r="N9" s="3" t="str">
        <v>5</v>
      </c>
      <c r="O9" s="5" t="str" cm="1">
        <f t="array" ref="O9">INDEX(SOURCE!E:E,MODE(IF(SOURCE!C:C=Sheet1!N9,MATCH(SOURCE!E:E,SOURCE!E:E,0))))</f>
        <v>Volvo B9TL Wright Eclipse Gemini</v>
      </c>
    </row>
    <row r="10" spans="1:16" thickTop="1" thickBot="1" x14ac:dyDescent="0.3">
      <c r="D10" s="4" t="str">
        <v>ADL Enviro400 MMC</v>
      </c>
      <c r="E10" s="5">
        <f>COUNTIF(SOURCE!E:E,Sheet1!D10)</f>
        <v>112</v>
      </c>
      <c r="G10" s="3" t="str">
        <v>Glasgow 34/34A</v>
      </c>
      <c r="H10" s="5">
        <f>COUNTIF(SOURCE!F:F,Sheet1!G10)</f>
        <v>6</v>
      </c>
      <c r="J10" s="17" t="str">
        <v>4</v>
      </c>
      <c r="K10" s="5">
        <f>COUNTIF(SOURCE!C:C,Sheet1!J10)</f>
        <v>8</v>
      </c>
      <c r="N10" s="3" t="str">
        <v>6</v>
      </c>
      <c r="O10" s="5" t="str" cm="1">
        <f t="array" ref="O10">INDEX(SOURCE!E:E,MODE(IF(SOURCE!C:C=Sheet1!N10,MATCH(SOURCE!E:E,SOURCE!E:E,0))))</f>
        <v>ADL Enviro400</v>
      </c>
    </row>
    <row r="11" spans="1:16" thickTop="1" thickBot="1" x14ac:dyDescent="0.3">
      <c r="D11" s="4" t="str">
        <v>ADL/TransBus Enviro300</v>
      </c>
      <c r="E11" s="5">
        <f>COUNTIF(SOURCE!E:E,Sheet1!D11)</f>
        <v>123</v>
      </c>
      <c r="G11" s="3" t="str">
        <v>Glasgow 38</v>
      </c>
      <c r="H11" s="5">
        <f>COUNTIF(SOURCE!F:F,Sheet1!G11)</f>
        <v>49</v>
      </c>
      <c r="J11" s="17" t="str">
        <v>5</v>
      </c>
      <c r="K11" s="5">
        <f>COUNTIF(SOURCE!C:C,Sheet1!J11)</f>
        <v>9</v>
      </c>
      <c r="N11" s="3" t="str">
        <v>7</v>
      </c>
      <c r="O11" s="5" t="str" cm="1">
        <f t="array" ref="O11">INDEX(SOURCE!E:E,MODE(IF(SOURCE!C:C=Sheet1!N11,MATCH(SOURCE!E:E,SOURCE!E:E,0))))</f>
        <v>BYD ADL Enviro200EV</v>
      </c>
    </row>
    <row r="12" spans="1:16" thickTop="1" thickBot="1" x14ac:dyDescent="0.3">
      <c r="D12" s="4" t="str">
        <v>BYD ADL Enviro200EV</v>
      </c>
      <c r="E12" s="5">
        <f>COUNTIF(SOURCE!E:E,Sheet1!D12)</f>
        <v>54</v>
      </c>
      <c r="G12" s="3" t="str">
        <v>Glasgow 41</v>
      </c>
      <c r="H12" s="5">
        <f>COUNTIF(SOURCE!F:F,Sheet1!G12)</f>
        <v>8</v>
      </c>
      <c r="J12" s="17" t="str">
        <v>6</v>
      </c>
      <c r="K12" s="5">
        <f>COUNTIF(SOURCE!C:C,Sheet1!J12)</f>
        <v>23</v>
      </c>
      <c r="N12" s="3" t="str">
        <v>8</v>
      </c>
      <c r="O12" s="5" t="str" cm="1">
        <f t="array" ref="O12">INDEX(SOURCE!E:E,MODE(IF(SOURCE!C:C=Sheet1!N12,MATCH(SOURCE!E:E,SOURCE!E:E,0))))</f>
        <v>ADL/TransBus Enviro300</v>
      </c>
    </row>
    <row r="13" spans="1:16" thickTop="1" thickBot="1" x14ac:dyDescent="0.3">
      <c r="D13" s="4" t="str">
        <v>BYD ADL Enviro400EV</v>
      </c>
      <c r="E13" s="5">
        <f>COUNTIF(SOURCE!E:E,Sheet1!D13)</f>
        <v>44</v>
      </c>
      <c r="G13" s="3" t="str">
        <v>Glasgow 61</v>
      </c>
      <c r="H13" s="5">
        <f>COUNTIF(SOURCE!F:F,Sheet1!G13)</f>
        <v>17</v>
      </c>
      <c r="J13" s="17" t="str">
        <v>7</v>
      </c>
      <c r="K13" s="5">
        <f>COUNTIF(SOURCE!C:C,Sheet1!J13)</f>
        <v>12</v>
      </c>
      <c r="N13" s="3" t="str">
        <v>9</v>
      </c>
      <c r="O13" s="5" t="str" cm="1">
        <f t="array" ref="O13">INDEX(SOURCE!E:E,MODE(IF(SOURCE!C:C=Sheet1!N13,MATCH(SOURCE!E:E,SOURCE!E:E,0))))</f>
        <v>BYD ADL Enviro200EV</v>
      </c>
    </row>
    <row r="14" spans="1:16" thickTop="1" thickBot="1" x14ac:dyDescent="0.3">
      <c r="D14" s="4" t="str">
        <v>Dennis Dart SLF Caetano Nimbus</v>
      </c>
      <c r="E14" s="5">
        <f>COUNTIF(SOURCE!E:E,Sheet1!D14)</f>
        <v>1</v>
      </c>
      <c r="G14" s="3" t="str">
        <v>Glasgow 65</v>
      </c>
      <c r="H14" s="5">
        <f>COUNTIF(SOURCE!F:F,Sheet1!G14)</f>
        <v>3</v>
      </c>
      <c r="J14" s="17" t="str">
        <v>8</v>
      </c>
      <c r="K14" s="5">
        <f>COUNTIF(SOURCE!C:C,Sheet1!J14)</f>
        <v>9</v>
      </c>
      <c r="N14" s="3" t="str">
        <v>10</v>
      </c>
      <c r="O14" s="5" t="str" cm="1">
        <f t="array" ref="O14">INDEX(SOURCE!E:E,MODE(IF(SOURCE!C:C=Sheet1!N14,MATCH(SOURCE!E:E,SOURCE!E:E,0))))</f>
        <v>Volvo B9TL Wright Eclipse Gemini</v>
      </c>
    </row>
    <row r="15" spans="1:16" thickTop="1" thickBot="1" x14ac:dyDescent="0.3">
      <c r="D15" s="4" t="str">
        <v>Optare Solo</v>
      </c>
      <c r="E15" s="5">
        <f>COUNTIF(SOURCE!E:E,Sheet1!D15)</f>
        <v>1</v>
      </c>
      <c r="G15" s="3" t="str">
        <v>Glasgow 7</v>
      </c>
      <c r="H15" s="5">
        <f>COUNTIF(SOURCE!F:F,Sheet1!G15)</f>
        <v>13</v>
      </c>
      <c r="J15" s="17" t="str">
        <v>9</v>
      </c>
      <c r="K15" s="5">
        <f>COUNTIF(SOURCE!C:C,Sheet1!J15)</f>
        <v>9</v>
      </c>
      <c r="N15" s="3" t="str">
        <v>11</v>
      </c>
      <c r="O15" s="5" t="str" cm="1">
        <f t="array" ref="O15">INDEX(SOURCE!E:E,MODE(IF(SOURCE!C:C=Sheet1!N15,MATCH(SOURCE!E:E,SOURCE!E:E,0))))</f>
        <v>Wright StreetLite DF</v>
      </c>
    </row>
    <row r="16" spans="1:16" thickTop="1" thickBot="1" x14ac:dyDescent="0.3">
      <c r="D16" s="4" t="str">
        <v>Optare Solo SR</v>
      </c>
      <c r="E16" s="5">
        <f>COUNTIF(SOURCE!E:E,Sheet1!D16)</f>
        <v>8</v>
      </c>
      <c r="G16" s="3" t="str">
        <v>Glasgow 75</v>
      </c>
      <c r="H16" s="5">
        <f>COUNTIF(SOURCE!F:F,Sheet1!G16)</f>
        <v>25</v>
      </c>
      <c r="J16" s="17" t="str">
        <v>10</v>
      </c>
      <c r="K16" s="5">
        <f>COUNTIF(SOURCE!C:C,Sheet1!J16)</f>
        <v>6</v>
      </c>
      <c r="N16" s="3" t="str">
        <v>14</v>
      </c>
      <c r="O16" s="5" t="e" cm="1">
        <f t="array" ref="O16">INDEX(SOURCE!E:E,MODE(IF(SOURCE!C:C=Sheet1!N16,MATCH(SOURCE!E:E,SOURCE!E:E,0))))</f>
        <v>#N/A</v>
      </c>
    </row>
    <row r="17" spans="4:15" thickTop="1" thickBot="1" x14ac:dyDescent="0.3">
      <c r="D17" s="4" t="str">
        <v>Type</v>
      </c>
      <c r="E17" s="5">
        <f>COUNTIF(SOURCE!E:E,Sheet1!D17)</f>
        <v>1</v>
      </c>
      <c r="G17" s="3" t="str">
        <v>Glasgow 77</v>
      </c>
      <c r="H17" s="5">
        <f>COUNTIF(SOURCE!F:F,Sheet1!G17)</f>
        <v>12</v>
      </c>
      <c r="J17" s="17" t="str">
        <v>11</v>
      </c>
      <c r="K17" s="5">
        <f>COUNTIF(SOURCE!C:C,Sheet1!J17)</f>
        <v>2</v>
      </c>
      <c r="N17" s="3" t="str">
        <v>16</v>
      </c>
      <c r="O17" s="5" t="str" cm="1">
        <f t="array" ref="O17">INDEX(SOURCE!E:E,MODE(IF(SOURCE!C:C=Sheet1!N17,MATCH(SOURCE!E:E,SOURCE!E:E,0))))</f>
        <v>ADL/TransBus Enviro300</v>
      </c>
    </row>
    <row r="18" spans="4:15" thickTop="1" thickBot="1" x14ac:dyDescent="0.3">
      <c r="D18" s="4" t="str">
        <v>Volvo B7RLE Wright Eclipse Urban</v>
      </c>
      <c r="E18" s="5">
        <f>COUNTIF(SOURCE!E:E,Sheet1!D18)</f>
        <v>12</v>
      </c>
      <c r="G18" s="3" t="str">
        <v>Glasgow 9/9A</v>
      </c>
      <c r="H18" s="5">
        <f>COUNTIF(SOURCE!F:F,Sheet1!G18)</f>
        <v>16</v>
      </c>
      <c r="J18" s="17" t="str">
        <v>14</v>
      </c>
      <c r="K18" s="5">
        <f>COUNTIF(SOURCE!C:C,Sheet1!J18)</f>
        <v>2</v>
      </c>
      <c r="N18" s="3" t="str">
        <v>18</v>
      </c>
      <c r="O18" s="5" t="str" cm="1">
        <f t="array" ref="O18">INDEX(SOURCE!E:E,MODE(IF(SOURCE!C:C=Sheet1!N18,MATCH(SOURCE!E:E,SOURCE!E:E,0))))</f>
        <v>ADL Enviro400 MMC</v>
      </c>
    </row>
    <row r="19" spans="4:15" thickTop="1" thickBot="1" x14ac:dyDescent="0.3">
      <c r="D19" s="4" t="str">
        <v>Volvo B7TL Wright Eclipse Gemini</v>
      </c>
      <c r="E19" s="5">
        <f>COUNTIF(SOURCE!E:E,Sheet1!D19)</f>
        <v>10</v>
      </c>
      <c r="G19" s="3" t="str">
        <v>Glasgow Airport Express</v>
      </c>
      <c r="H19" s="5">
        <f>COUNTIF(SOURCE!F:F,Sheet1!G19)</f>
        <v>10</v>
      </c>
      <c r="J19" s="17" t="str">
        <v>16</v>
      </c>
      <c r="K19" s="5">
        <f>COUNTIF(SOURCE!C:C,Sheet1!J19)</f>
        <v>4</v>
      </c>
      <c r="N19" s="3" t="str">
        <v>19</v>
      </c>
      <c r="O19" s="5" t="str" cm="1">
        <f t="array" ref="O19">INDEX(SOURCE!E:E,MODE(IF(SOURCE!C:C=Sheet1!N19,MATCH(SOURCE!E:E,SOURCE!E:E,0))))</f>
        <v>Volvo B9TL Wright Eclipse Gemini</v>
      </c>
    </row>
    <row r="20" spans="4:15" thickTop="1" thickBot="1" x14ac:dyDescent="0.3">
      <c r="D20" s="4" t="str">
        <v>Volvo B9TL Wright Eclipse Gemini</v>
      </c>
      <c r="E20" s="5">
        <f>COUNTIF(SOURCE!E:E,Sheet1!D20)</f>
        <v>93</v>
      </c>
      <c r="G20" s="3" t="str">
        <v>Glasgow Corporation</v>
      </c>
      <c r="H20" s="5">
        <f>COUNTIF(SOURCE!F:F,Sheet1!G20)</f>
        <v>1</v>
      </c>
      <c r="J20" s="17" t="str">
        <v>18</v>
      </c>
      <c r="K20" s="5">
        <f>COUNTIF(SOURCE!C:C,Sheet1!J20)</f>
        <v>12</v>
      </c>
      <c r="N20" s="3" t="str">
        <v>21</v>
      </c>
      <c r="O20" s="5" t="str" cm="1">
        <f t="array" ref="O20">INDEX(SOURCE!E:E,MODE(IF(SOURCE!C:C=Sheet1!N20,MATCH(SOURCE!E:E,SOURCE!E:E,0))))</f>
        <v>ADL Enviro400 MMC</v>
      </c>
    </row>
    <row r="21" spans="4:15" thickTop="1" thickBot="1" x14ac:dyDescent="0.3">
      <c r="D21" s="4" t="str">
        <v>Wright StreetLite DF</v>
      </c>
      <c r="E21" s="5">
        <f>COUNTIF(SOURCE!E:E,Sheet1!D21)</f>
        <v>42</v>
      </c>
      <c r="G21" s="3" t="str">
        <v>Glasgow M3</v>
      </c>
      <c r="H21" s="5">
        <f>COUNTIF(SOURCE!F:F,Sheet1!G21)</f>
        <v>2</v>
      </c>
      <c r="J21" s="17" t="str">
        <v>19</v>
      </c>
      <c r="K21" s="5">
        <f>COUNTIF(SOURCE!C:C,Sheet1!J21)</f>
        <v>5</v>
      </c>
      <c r="N21" s="3" t="str">
        <v>31</v>
      </c>
      <c r="O21" s="5" t="str" cm="1">
        <f t="array" ref="O21">INDEX(SOURCE!E:E,MODE(IF(SOURCE!C:C=Sheet1!N21,MATCH(SOURCE!E:E,SOURCE!E:E,0))))</f>
        <v>BYD ADL Enviro200EV</v>
      </c>
    </row>
    <row r="22" spans="4:15" thickTop="1" thickBot="1" x14ac:dyDescent="0.3">
      <c r="D22" s="4">
        <v>0</v>
      </c>
      <c r="E22" s="5">
        <f>COUNTIF(SOURCE!E:E,Sheet1!D22)</f>
        <v>0</v>
      </c>
      <c r="G22" s="3" t="str">
        <v>Glasgow M60</v>
      </c>
      <c r="H22" s="5">
        <f>COUNTIF(SOURCE!F:F,Sheet1!G22)</f>
        <v>4</v>
      </c>
      <c r="J22" s="17" t="str">
        <v>21</v>
      </c>
      <c r="K22" s="5">
        <f>COUNTIF(SOURCE!C:C,Sheet1!J22)</f>
        <v>9</v>
      </c>
      <c r="N22" s="3" t="str">
        <v>34</v>
      </c>
      <c r="O22" s="5" t="str" cm="1">
        <f t="array" ref="O22">INDEX(SOURCE!E:E,MODE(IF(SOURCE!C:C=Sheet1!N22,MATCH(SOURCE!E:E,SOURCE!E:E,0))))</f>
        <v>BYD ADL Enviro200EV</v>
      </c>
    </row>
    <row r="23" spans="4:15" thickTop="1" thickBot="1" x14ac:dyDescent="0.3">
      <c r="G23" s="3" t="str">
        <v>Glasgow NHS</v>
      </c>
      <c r="H23" s="5">
        <f>COUNTIF(SOURCE!F:F,Sheet1!G23)</f>
        <v>1</v>
      </c>
      <c r="J23" s="17" t="str">
        <v>31</v>
      </c>
      <c r="K23" s="5">
        <f>COUNTIF(SOURCE!C:C,Sheet1!J23)</f>
        <v>3</v>
      </c>
      <c r="N23" s="3" t="str">
        <v>38</v>
      </c>
      <c r="O23" s="5" t="str" cm="1">
        <f t="array" ref="O23">INDEX(SOURCE!E:E,MODE(IF(SOURCE!C:C=Sheet1!N23,MATCH(SOURCE!E:E,SOURCE!E:E,0))))</f>
        <v>ADL Enviro400 MMC</v>
      </c>
    </row>
    <row r="24" spans="4:15" thickTop="1" thickBot="1" x14ac:dyDescent="0.3">
      <c r="G24" s="3" t="str">
        <v>Glasgow X11</v>
      </c>
      <c r="H24" s="5">
        <f>COUNTIF(SOURCE!F:F,Sheet1!G24)</f>
        <v>3</v>
      </c>
      <c r="J24" s="17" t="str">
        <v>34</v>
      </c>
      <c r="K24" s="5">
        <f>COUNTIF(SOURCE!C:C,Sheet1!J24)</f>
        <v>13</v>
      </c>
      <c r="N24" s="3" t="str">
        <v>41</v>
      </c>
      <c r="O24" s="5" t="str" cm="1">
        <f t="array" ref="O24">INDEX(SOURCE!E:E,MODE(IF(SOURCE!C:C=Sheet1!N24,MATCH(SOURCE!E:E,SOURCE!E:E,0))))</f>
        <v>ADL Enviro400 MMC</v>
      </c>
    </row>
    <row r="25" spans="4:15" thickTop="1" thickBot="1" x14ac:dyDescent="0.3">
      <c r="G25" s="3" t="str">
        <v>Glasgow X85/X87</v>
      </c>
      <c r="H25" s="5">
        <f>COUNTIF(SOURCE!F:F,Sheet1!G25)</f>
        <v>3</v>
      </c>
      <c r="J25" s="17" t="str">
        <v>38</v>
      </c>
      <c r="K25" s="5">
        <f>COUNTIF(SOURCE!C:C,Sheet1!J25)</f>
        <v>20</v>
      </c>
      <c r="N25" s="3" t="str">
        <v>43</v>
      </c>
      <c r="O25" s="5" t="e" cm="1">
        <f t="array" ref="O25">INDEX(SOURCE!E:E,MODE(IF(SOURCE!C:C=Sheet1!N25,MATCH(SOURCE!E:E,SOURCE!E:E,0))))</f>
        <v>#N/A</v>
      </c>
    </row>
    <row r="26" spans="4:15" thickTop="1" thickBot="1" x14ac:dyDescent="0.3">
      <c r="G26" s="3" t="str">
        <v>Gold front</v>
      </c>
      <c r="H26" s="5">
        <f>COUNTIF(SOURCE!F:F,Sheet1!G26)</f>
        <v>4</v>
      </c>
      <c r="J26" s="17" t="str">
        <v>41</v>
      </c>
      <c r="K26" s="5">
        <f>COUNTIF(SOURCE!C:C,Sheet1!J26)</f>
        <v>7</v>
      </c>
      <c r="N26" s="3" t="str">
        <v>46</v>
      </c>
      <c r="O26" s="5" t="str" cm="1">
        <f t="array" ref="O26">INDEX(SOURCE!E:E,MODE(IF(SOURCE!C:C=Sheet1!N26,MATCH(SOURCE!E:E,SOURCE!E:E,0))))</f>
        <v>BYD ADL Enviro200EV</v>
      </c>
    </row>
    <row r="27" spans="4:15" thickTop="1" thickBot="1" x14ac:dyDescent="0.3">
      <c r="G27" s="3" t="str">
        <v>Greater Glasgow PTE</v>
      </c>
      <c r="H27" s="5">
        <f>COUNTIF(SOURCE!F:F,Sheet1!G27)</f>
        <v>1</v>
      </c>
      <c r="J27" s="17" t="str">
        <v>43</v>
      </c>
      <c r="K27" s="5">
        <f>COUNTIF(SOURCE!C:C,Sheet1!J27)</f>
        <v>1</v>
      </c>
      <c r="N27" s="3" t="str">
        <v>49</v>
      </c>
      <c r="O27" s="5" t="str" cm="1">
        <f t="array" ref="O27">INDEX(SOURCE!E:E,MODE(IF(SOURCE!C:C=Sheet1!N27,MATCH(SOURCE!E:E,SOURCE!E:E,0))))</f>
        <v>Optare Solo SR</v>
      </c>
    </row>
    <row r="28" spans="4:15" thickTop="1" thickBot="1" x14ac:dyDescent="0.3">
      <c r="G28" s="3" t="str">
        <v>Lanarkshire 201</v>
      </c>
      <c r="H28" s="5">
        <f>COUNTIF(SOURCE!F:F,Sheet1!G28)</f>
        <v>10</v>
      </c>
      <c r="J28" s="17" t="str">
        <v>46</v>
      </c>
      <c r="K28" s="5">
        <f>COUNTIF(SOURCE!C:C,Sheet1!J28)</f>
        <v>7</v>
      </c>
      <c r="N28" s="3" t="str">
        <v>57</v>
      </c>
      <c r="O28" s="5" t="str" cm="1">
        <f t="array" ref="O28">INDEX(SOURCE!E:E,MODE(IF(SOURCE!C:C=Sheet1!N28,MATCH(SOURCE!E:E,SOURCE!E:E,0))))</f>
        <v>Volvo B9TL Wright Eclipse Gemini</v>
      </c>
    </row>
    <row r="29" spans="4:15" thickTop="1" thickBot="1" x14ac:dyDescent="0.3">
      <c r="G29" s="3" t="str">
        <v>Lanarkshire 240</v>
      </c>
      <c r="H29" s="5">
        <f>COUNTIF(SOURCE!F:F,Sheet1!G29)</f>
        <v>14</v>
      </c>
      <c r="J29" s="17" t="str">
        <v>49</v>
      </c>
      <c r="K29" s="5">
        <f>COUNTIF(SOURCE!C:C,Sheet1!J29)</f>
        <v>2</v>
      </c>
      <c r="N29" s="3" t="str">
        <v>59</v>
      </c>
      <c r="O29" s="5" t="e" cm="1">
        <f t="array" ref="O29">INDEX(SOURCE!E:E,MODE(IF(SOURCE!C:C=Sheet1!N29,MATCH(SOURCE!E:E,SOURCE!E:E,0))))</f>
        <v>#N/A</v>
      </c>
    </row>
    <row r="30" spans="4:15" thickTop="1" thickBot="1" x14ac:dyDescent="0.3">
      <c r="G30" s="3" t="str">
        <v>Lanarkshire 241</v>
      </c>
      <c r="H30" s="5">
        <f>COUNTIF(SOURCE!F:F,Sheet1!G30)</f>
        <v>8</v>
      </c>
      <c r="J30" s="17" t="str">
        <v>57</v>
      </c>
      <c r="K30" s="5">
        <f>COUNTIF(SOURCE!C:C,Sheet1!J30)</f>
        <v>19</v>
      </c>
      <c r="N30" s="3" t="str">
        <v>60</v>
      </c>
      <c r="O30" s="5" t="str" cm="1">
        <f t="array" ref="O30">INDEX(SOURCE!E:E,MODE(IF(SOURCE!C:C=Sheet1!N30,MATCH(SOURCE!E:E,SOURCE!E:E,0))))</f>
        <v>Volvo B9TL Wright Eclipse Gemini</v>
      </c>
    </row>
    <row r="31" spans="4:15" thickTop="1" thickBot="1" x14ac:dyDescent="0.3">
      <c r="G31" s="3" t="str">
        <v>Lanarkshire 242</v>
      </c>
      <c r="H31" s="5">
        <f>COUNTIF(SOURCE!F:F,Sheet1!G31)</f>
        <v>6</v>
      </c>
      <c r="J31" s="17" t="str">
        <v>59</v>
      </c>
      <c r="K31" s="5">
        <f>COUNTIF(SOURCE!C:C,Sheet1!J31)</f>
        <v>1</v>
      </c>
      <c r="N31" s="3" t="str">
        <v>61</v>
      </c>
      <c r="O31" s="5" t="str" cm="1">
        <f t="array" ref="O31">INDEX(SOURCE!E:E,MODE(IF(SOURCE!C:C=Sheet1!N31,MATCH(SOURCE!E:E,SOURCE!E:E,0))))</f>
        <v>BYD ADL Enviro400EV</v>
      </c>
    </row>
    <row r="32" spans="4:15" thickTop="1" thickBot="1" x14ac:dyDescent="0.3">
      <c r="G32" s="3" t="str">
        <v>Lanarkshire 254</v>
      </c>
      <c r="H32" s="5">
        <f>COUNTIF(SOURCE!F:F,Sheet1!G32)</f>
        <v>3</v>
      </c>
      <c r="J32" s="17" t="str">
        <v>60</v>
      </c>
      <c r="K32" s="5">
        <f>COUNTIF(SOURCE!C:C,Sheet1!J32)</f>
        <v>15</v>
      </c>
      <c r="N32" s="3" t="str">
        <v>64</v>
      </c>
      <c r="O32" s="5" t="str" cm="1">
        <f t="array" ref="O32">INDEX(SOURCE!E:E,MODE(IF(SOURCE!C:C=Sheet1!N32,MATCH(SOURCE!E:E,SOURCE!E:E,0))))</f>
        <v>BYD ADL Enviro200EV</v>
      </c>
    </row>
    <row r="33" spans="7:15" thickTop="1" thickBot="1" x14ac:dyDescent="0.3">
      <c r="G33" s="3" t="str">
        <v>Lanarkshire Connect</v>
      </c>
      <c r="H33" s="5">
        <f>COUNTIF(SOURCE!F:F,Sheet1!G33)</f>
        <v>7</v>
      </c>
      <c r="J33" s="17" t="str">
        <v>61</v>
      </c>
      <c r="K33" s="5">
        <f>COUNTIF(SOURCE!C:C,Sheet1!J33)</f>
        <v>13</v>
      </c>
      <c r="N33" s="3" t="str">
        <v>65</v>
      </c>
      <c r="O33" s="5" t="str" cm="1">
        <f t="array" ref="O33">INDEX(SOURCE!E:E,MODE(IF(SOURCE!C:C=Sheet1!N33,MATCH(SOURCE!E:E,SOURCE!E:E,0))))</f>
        <v>BYD ADL Enviro200EV</v>
      </c>
    </row>
    <row r="34" spans="7:15" thickTop="1" thickBot="1" x14ac:dyDescent="0.3">
      <c r="G34" s="3" t="str">
        <v>Livery</v>
      </c>
      <c r="H34" s="5">
        <f>COUNTIF(SOURCE!F:F,Sheet1!G34)</f>
        <v>1</v>
      </c>
      <c r="J34" s="17" t="str">
        <v>64</v>
      </c>
      <c r="K34" s="5">
        <f>COUNTIF(SOURCE!C:C,Sheet1!J34)</f>
        <v>4</v>
      </c>
      <c r="N34" s="3" t="str">
        <v>75</v>
      </c>
      <c r="O34" s="5" t="str" cm="1">
        <f t="array" ref="O34">INDEX(SOURCE!E:E,MODE(IF(SOURCE!C:C=Sheet1!N34,MATCH(SOURCE!E:E,SOURCE!E:E,0))))</f>
        <v>BYD ADL Enviro400EV</v>
      </c>
    </row>
    <row r="35" spans="7:15" thickTop="1" thickBot="1" x14ac:dyDescent="0.3">
      <c r="G35" s="3" t="str">
        <v>Olympia</v>
      </c>
      <c r="H35" s="5">
        <f>COUNTIF(SOURCE!F:F,Sheet1!G35)</f>
        <v>39</v>
      </c>
      <c r="J35" s="17" t="str">
        <v>65</v>
      </c>
      <c r="K35" s="5">
        <f>COUNTIF(SOURCE!C:C,Sheet1!J35)</f>
        <v>3</v>
      </c>
      <c r="N35" s="3" t="str">
        <v>77</v>
      </c>
      <c r="O35" s="5" t="str" cm="1">
        <f t="array" ref="O35">INDEX(SOURCE!E:E,MODE(IF(SOURCE!C:C=Sheet1!N35,MATCH(SOURCE!E:E,SOURCE!E:E,0))))</f>
        <v>ADL Enviro400 MMC</v>
      </c>
    </row>
    <row r="36" spans="7:15" thickTop="1" thickBot="1" x14ac:dyDescent="0.3">
      <c r="G36" s="3" t="str">
        <v>Pink front Olympia</v>
      </c>
      <c r="H36" s="5">
        <f>COUNTIF(SOURCE!F:F,Sheet1!G36)</f>
        <v>1</v>
      </c>
      <c r="J36" s="17" t="str">
        <v>75</v>
      </c>
      <c r="K36" s="5">
        <f>COUNTIF(SOURCE!C:C,Sheet1!J36)</f>
        <v>21</v>
      </c>
      <c r="N36" s="3" t="str">
        <v>81</v>
      </c>
      <c r="O36" s="5" t="str" cm="1">
        <f t="array" ref="O36">INDEX(SOURCE!E:E,MODE(IF(SOURCE!C:C=Sheet1!N36,MATCH(SOURCE!E:E,SOURCE!E:E,0))))</f>
        <v>Wright StreetLite DF</v>
      </c>
    </row>
    <row r="37" spans="7:15" thickTop="1" thickBot="1" x14ac:dyDescent="0.3">
      <c r="G37" s="3" t="str">
        <v>SPT</v>
      </c>
      <c r="H37" s="5">
        <f>COUNTIF(SOURCE!F:F,Sheet1!G37)</f>
        <v>8</v>
      </c>
      <c r="J37" s="17" t="str">
        <v>77</v>
      </c>
      <c r="K37" s="5">
        <f>COUNTIF(SOURCE!C:C,Sheet1!J37)</f>
        <v>8</v>
      </c>
      <c r="N37" s="3" t="str">
        <v>87</v>
      </c>
      <c r="O37" s="5" t="str" cm="1">
        <f t="array" ref="O37">INDEX(SOURCE!E:E,MODE(IF(SOURCE!C:C=Sheet1!N37,MATCH(SOURCE!E:E,SOURCE!E:E,0))))</f>
        <v>Volvo B9TL Wright Eclipse Gemini</v>
      </c>
    </row>
    <row r="38" spans="7:15" thickTop="1" thickBot="1" x14ac:dyDescent="0.3">
      <c r="G38" s="3" t="str">
        <v>The One</v>
      </c>
      <c r="H38" s="5">
        <f>COUNTIF(SOURCE!F:F,Sheet1!G38)</f>
        <v>42</v>
      </c>
      <c r="J38" s="17" t="str">
        <v>81</v>
      </c>
      <c r="K38" s="5">
        <f>COUNTIF(SOURCE!C:C,Sheet1!J38)</f>
        <v>3</v>
      </c>
      <c r="N38" s="3" t="str">
        <v>88</v>
      </c>
      <c r="O38" s="5" t="str" cm="1">
        <f t="array" ref="O38">INDEX(SOURCE!E:E,MODE(IF(SOURCE!C:C=Sheet1!N38,MATCH(SOURCE!E:E,SOURCE!E:E,0))))</f>
        <v>ADL Enviro400 MMC</v>
      </c>
    </row>
    <row r="39" spans="7:15" thickTop="1" thickBot="1" x14ac:dyDescent="0.3">
      <c r="G39" s="3" t="str">
        <v>Urban</v>
      </c>
      <c r="H39" s="5">
        <f>COUNTIF(SOURCE!F:F,Sheet1!G39)</f>
        <v>248</v>
      </c>
      <c r="J39" s="17" t="str">
        <v>87</v>
      </c>
      <c r="K39" s="5">
        <f>COUNTIF(SOURCE!C:C,Sheet1!J39)</f>
        <v>4</v>
      </c>
      <c r="N39" s="3" t="str">
        <v>89</v>
      </c>
      <c r="O39" s="5" t="str" cm="1">
        <f t="array" ref="O39">INDEX(SOURCE!E:E,MODE(IF(SOURCE!C:C=Sheet1!N39,MATCH(SOURCE!E:E,SOURCE!E:E,0))))</f>
        <v>ADL Enviro400 MMC</v>
      </c>
    </row>
    <row r="40" spans="7:15" thickTop="1" thickBot="1" x14ac:dyDescent="0.3">
      <c r="G40" s="3" t="str">
        <v>Young Scot Awards</v>
      </c>
      <c r="H40" s="5">
        <f>COUNTIF(SOURCE!F:F,Sheet1!G40)</f>
        <v>1</v>
      </c>
      <c r="J40" s="17" t="str">
        <v>88</v>
      </c>
      <c r="K40" s="5">
        <f>COUNTIF(SOURCE!C:C,Sheet1!J40)</f>
        <v>7</v>
      </c>
      <c r="N40" s="3" t="str">
        <v>90</v>
      </c>
      <c r="O40" s="5" t="str" cm="1">
        <f t="array" ref="O40">INDEX(SOURCE!E:E,MODE(IF(SOURCE!C:C=Sheet1!N40,MATCH(SOURCE!E:E,SOURCE!E:E,0))))</f>
        <v>ADL/TransBus Enviro300</v>
      </c>
    </row>
    <row r="41" spans="7:15" thickTop="1" thickBot="1" x14ac:dyDescent="0.3">
      <c r="G41" s="3">
        <v>0</v>
      </c>
      <c r="H41" s="5">
        <f>COUNTIF(SOURCE!F:F,Sheet1!G41)</f>
        <v>0</v>
      </c>
      <c r="J41" s="17" t="str">
        <v>89</v>
      </c>
      <c r="K41" s="5">
        <f>COUNTIF(SOURCE!C:C,Sheet1!J41)</f>
        <v>3</v>
      </c>
      <c r="N41" s="3" t="str">
        <v>93</v>
      </c>
      <c r="O41" s="5" t="e" cm="1">
        <f t="array" ref="O41">INDEX(SOURCE!E:E,MODE(IF(SOURCE!C:C=Sheet1!N41,MATCH(SOURCE!E:E,SOURCE!E:E,0))))</f>
        <v>#N/A</v>
      </c>
    </row>
    <row r="42" spans="7:15" thickTop="1" thickBot="1" x14ac:dyDescent="0.3">
      <c r="J42" s="17" t="str">
        <v>90</v>
      </c>
      <c r="K42" s="5">
        <f>COUNTIF(SOURCE!C:C,Sheet1!J42)</f>
        <v>7</v>
      </c>
      <c r="N42" s="3" t="str">
        <v>94</v>
      </c>
      <c r="O42" s="5" t="e" cm="1">
        <f t="array" ref="O42">INDEX(SOURCE!E:E,MODE(IF(SOURCE!C:C=Sheet1!N42,MATCH(SOURCE!E:E,SOURCE!E:E,0))))</f>
        <v>#N/A</v>
      </c>
    </row>
    <row r="43" spans="7:15" thickTop="1" thickBot="1" x14ac:dyDescent="0.3">
      <c r="J43" s="17" t="str">
        <v>93</v>
      </c>
      <c r="K43" s="5">
        <f>COUNTIF(SOURCE!C:C,Sheet1!J43)</f>
        <v>1</v>
      </c>
      <c r="N43" s="3" t="str">
        <v>189</v>
      </c>
      <c r="O43" s="5" t="str" cm="1">
        <f t="array" ref="O43">INDEX(SOURCE!E:E,MODE(IF(SOURCE!C:C=Sheet1!N43,MATCH(SOURCE!E:E,SOURCE!E:E,0))))</f>
        <v>ADL/TransBus Enviro300</v>
      </c>
    </row>
    <row r="44" spans="7:15" thickTop="1" thickBot="1" x14ac:dyDescent="0.3">
      <c r="J44" s="17" t="str">
        <v>94</v>
      </c>
      <c r="K44" s="5">
        <f>COUNTIF(SOURCE!C:C,Sheet1!J44)</f>
        <v>1</v>
      </c>
      <c r="N44" s="3" t="str">
        <v>190</v>
      </c>
      <c r="O44" s="5" t="str" cm="1">
        <f t="array" ref="O44">INDEX(SOURCE!E:E,MODE(IF(SOURCE!C:C=Sheet1!N44,MATCH(SOURCE!E:E,SOURCE!E:E,0))))</f>
        <v>ADL/TransBus Enviro300</v>
      </c>
    </row>
    <row r="45" spans="7:15" thickTop="1" thickBot="1" x14ac:dyDescent="0.3">
      <c r="J45" s="17" t="str">
        <v>189</v>
      </c>
      <c r="K45" s="5">
        <f>COUNTIF(SOURCE!C:C,Sheet1!J45)</f>
        <v>4</v>
      </c>
      <c r="N45" s="3" t="str">
        <v>201</v>
      </c>
      <c r="O45" s="5" t="str" cm="1">
        <f t="array" ref="O45">INDEX(SOURCE!E:E,MODE(IF(SOURCE!C:C=Sheet1!N45,MATCH(SOURCE!E:E,SOURCE!E:E,0))))</f>
        <v>ADL/TransBus Enviro300</v>
      </c>
    </row>
    <row r="46" spans="7:15" thickTop="1" thickBot="1" x14ac:dyDescent="0.3">
      <c r="J46" s="17" t="str">
        <v>190</v>
      </c>
      <c r="K46" s="5">
        <f>COUNTIF(SOURCE!C:C,Sheet1!J46)</f>
        <v>3</v>
      </c>
      <c r="N46" s="3" t="str">
        <v>202</v>
      </c>
      <c r="O46" s="5" t="e" cm="1">
        <f t="array" ref="O46">INDEX(SOURCE!E:E,MODE(IF(SOURCE!C:C=Sheet1!N46,MATCH(SOURCE!E:E,SOURCE!E:E,0))))</f>
        <v>#N/A</v>
      </c>
    </row>
    <row r="47" spans="7:15" thickTop="1" thickBot="1" x14ac:dyDescent="0.3">
      <c r="J47" s="17" t="str">
        <v>201</v>
      </c>
      <c r="K47" s="5">
        <f>COUNTIF(SOURCE!C:C,Sheet1!J47)</f>
        <v>21</v>
      </c>
      <c r="N47" s="3" t="str">
        <v>206</v>
      </c>
      <c r="O47" s="5" t="str" cm="1">
        <f t="array" ref="O47">INDEX(SOURCE!E:E,MODE(IF(SOURCE!C:C=Sheet1!N47,MATCH(SOURCE!E:E,SOURCE!E:E,0))))</f>
        <v>Wright StreetLite DF</v>
      </c>
    </row>
    <row r="48" spans="7:15" thickTop="1" thickBot="1" x14ac:dyDescent="0.3">
      <c r="J48" s="17" t="str">
        <v>202</v>
      </c>
      <c r="K48" s="5">
        <f>COUNTIF(SOURCE!C:C,Sheet1!J48)</f>
        <v>1</v>
      </c>
      <c r="N48" s="3" t="str">
        <v>208</v>
      </c>
      <c r="O48" s="5" t="e" cm="1">
        <f t="array" ref="O48">INDEX(SOURCE!E:E,MODE(IF(SOURCE!C:C=Sheet1!N48,MATCH(SOURCE!E:E,SOURCE!E:E,0))))</f>
        <v>#N/A</v>
      </c>
    </row>
    <row r="49" spans="10:15" thickTop="1" thickBot="1" x14ac:dyDescent="0.3">
      <c r="J49" s="17" t="str">
        <v>206</v>
      </c>
      <c r="K49" s="5">
        <f>COUNTIF(SOURCE!C:C,Sheet1!J49)</f>
        <v>8</v>
      </c>
      <c r="N49" s="3" t="str">
        <v>226</v>
      </c>
      <c r="O49" s="5" t="str" cm="1">
        <f t="array" ref="O49">INDEX(SOURCE!E:E,MODE(IF(SOURCE!C:C=Sheet1!N49,MATCH(SOURCE!E:E,SOURCE!E:E,0))))</f>
        <v>ADL Enviro200 MMC</v>
      </c>
    </row>
    <row r="50" spans="10:15" thickTop="1" thickBot="1" x14ac:dyDescent="0.3">
      <c r="J50" s="17" t="str">
        <v>208</v>
      </c>
      <c r="K50" s="5">
        <f>COUNTIF(SOURCE!C:C,Sheet1!J50)</f>
        <v>1</v>
      </c>
      <c r="N50" s="3" t="str">
        <v>227</v>
      </c>
      <c r="O50" s="5" t="str" cm="1">
        <f t="array" ref="O50">INDEX(SOURCE!E:E,MODE(IF(SOURCE!C:C=Sheet1!N50,MATCH(SOURCE!E:E,SOURCE!E:E,0))))</f>
        <v>ADL Enviro200</v>
      </c>
    </row>
    <row r="51" spans="10:15" thickTop="1" thickBot="1" x14ac:dyDescent="0.3">
      <c r="J51" s="17" t="str">
        <v>226</v>
      </c>
      <c r="K51" s="5">
        <f>COUNTIF(SOURCE!C:C,Sheet1!J51)</f>
        <v>5</v>
      </c>
      <c r="N51" s="3" t="str">
        <v>240</v>
      </c>
      <c r="O51" s="5" t="str" cm="1">
        <f t="array" ref="O51">INDEX(SOURCE!E:E,MODE(IF(SOURCE!C:C=Sheet1!N51,MATCH(SOURCE!E:E,SOURCE!E:E,0))))</f>
        <v>ADL Enviro200 MMC</v>
      </c>
    </row>
    <row r="52" spans="10:15" thickTop="1" thickBot="1" x14ac:dyDescent="0.3">
      <c r="J52" s="17" t="str">
        <v>227</v>
      </c>
      <c r="K52" s="5">
        <f>COUNTIF(SOURCE!C:C,Sheet1!J52)</f>
        <v>2</v>
      </c>
      <c r="N52" s="3" t="str">
        <v>241</v>
      </c>
      <c r="O52" s="5" t="str" cm="1">
        <f t="array" ref="O52">INDEX(SOURCE!E:E,MODE(IF(SOURCE!C:C=Sheet1!N52,MATCH(SOURCE!E:E,SOURCE!E:E,0))))</f>
        <v>ADL Enviro200 MMC</v>
      </c>
    </row>
    <row r="53" spans="10:15" thickTop="1" thickBot="1" x14ac:dyDescent="0.3">
      <c r="J53" s="17" t="str">
        <v>240</v>
      </c>
      <c r="K53" s="5">
        <f>COUNTIF(SOURCE!C:C,Sheet1!J53)</f>
        <v>33</v>
      </c>
      <c r="N53" s="3" t="str">
        <v>242</v>
      </c>
      <c r="O53" s="5" t="str" cm="1">
        <f t="array" ref="O53">INDEX(SOURCE!E:E,MODE(IF(SOURCE!C:C=Sheet1!N53,MATCH(SOURCE!E:E,SOURCE!E:E,0))))</f>
        <v>ADL Enviro200 MMC</v>
      </c>
    </row>
    <row r="54" spans="10:15" thickTop="1" thickBot="1" x14ac:dyDescent="0.3">
      <c r="J54" s="17" t="str">
        <v>241</v>
      </c>
      <c r="K54" s="5">
        <f>COUNTIF(SOURCE!C:C,Sheet1!J54)</f>
        <v>10</v>
      </c>
      <c r="N54" s="3" t="str">
        <v>244</v>
      </c>
      <c r="O54" s="5" t="e" cm="1">
        <f t="array" ref="O54">INDEX(SOURCE!E:E,MODE(IF(SOURCE!C:C=Sheet1!N54,MATCH(SOURCE!E:E,SOURCE!E:E,0))))</f>
        <v>#N/A</v>
      </c>
    </row>
    <row r="55" spans="10:15" thickTop="1" thickBot="1" x14ac:dyDescent="0.3">
      <c r="J55" s="17" t="str">
        <v>242</v>
      </c>
      <c r="K55" s="5">
        <f>COUNTIF(SOURCE!C:C,Sheet1!J55)</f>
        <v>6</v>
      </c>
      <c r="N55" s="3" t="str">
        <v>251</v>
      </c>
      <c r="O55" s="5" t="e" cm="1">
        <f t="array" ref="O55">INDEX(SOURCE!E:E,MODE(IF(SOURCE!C:C=Sheet1!N55,MATCH(SOURCE!E:E,SOURCE!E:E,0))))</f>
        <v>#N/A</v>
      </c>
    </row>
    <row r="56" spans="10:15" thickTop="1" thickBot="1" x14ac:dyDescent="0.3">
      <c r="J56" s="17" t="str">
        <v>244</v>
      </c>
      <c r="K56" s="5">
        <f>COUNTIF(SOURCE!C:C,Sheet1!J56)</f>
        <v>1</v>
      </c>
      <c r="N56" s="3" t="str">
        <v>254</v>
      </c>
      <c r="O56" s="5" t="str" cm="1">
        <f t="array" ref="O56">INDEX(SOURCE!E:E,MODE(IF(SOURCE!C:C=Sheet1!N56,MATCH(SOURCE!E:E,SOURCE!E:E,0))))</f>
        <v>ADL Enviro200 MMC</v>
      </c>
    </row>
    <row r="57" spans="10:15" thickTop="1" thickBot="1" x14ac:dyDescent="0.3">
      <c r="J57" s="17" t="str">
        <v>251</v>
      </c>
      <c r="K57" s="5">
        <f>COUNTIF(SOURCE!C:C,Sheet1!J57)</f>
        <v>1</v>
      </c>
      <c r="N57" s="3" t="str">
        <v>255</v>
      </c>
      <c r="O57" s="5" t="str" cm="1">
        <f t="array" ref="O57">INDEX(SOURCE!E:E,MODE(IF(SOURCE!C:C=Sheet1!N57,MATCH(SOURCE!E:E,SOURCE!E:E,0))))</f>
        <v>ADL Enviro200 MMC</v>
      </c>
    </row>
    <row r="58" spans="10:15" thickTop="1" thickBot="1" x14ac:dyDescent="0.3">
      <c r="J58" s="17" t="str">
        <v>254</v>
      </c>
      <c r="K58" s="5">
        <f>COUNTIF(SOURCE!C:C,Sheet1!J58)</f>
        <v>2</v>
      </c>
      <c r="N58" s="3" t="str">
        <v>263</v>
      </c>
      <c r="O58" s="5" t="str" cm="1">
        <f t="array" ref="O58">INDEX(SOURCE!E:E,MODE(IF(SOURCE!C:C=Sheet1!N58,MATCH(SOURCE!E:E,SOURCE!E:E,0))))</f>
        <v>ADL Enviro400 MMC</v>
      </c>
    </row>
    <row r="59" spans="10:15" thickTop="1" thickBot="1" x14ac:dyDescent="0.3">
      <c r="J59" s="17" t="str">
        <v>255</v>
      </c>
      <c r="K59" s="5">
        <f>COUNTIF(SOURCE!C:C,Sheet1!J59)</f>
        <v>7</v>
      </c>
      <c r="N59" s="3" t="str">
        <v>266</v>
      </c>
      <c r="O59" s="5" t="str" cm="1">
        <f t="array" ref="O59">INDEX(SOURCE!E:E,MODE(IF(SOURCE!C:C=Sheet1!N59,MATCH(SOURCE!E:E,SOURCE!E:E,0))))</f>
        <v>Wright StreetLite DF</v>
      </c>
    </row>
    <row r="60" spans="10:15" thickTop="1" thickBot="1" x14ac:dyDescent="0.3">
      <c r="J60" s="17" t="str">
        <v>263</v>
      </c>
      <c r="K60" s="5">
        <f>COUNTIF(SOURCE!C:C,Sheet1!J60)</f>
        <v>9</v>
      </c>
      <c r="N60" s="3" t="str">
        <v>267</v>
      </c>
      <c r="O60" s="5" t="str" cm="1">
        <f t="array" ref="O60">INDEX(SOURCE!E:E,MODE(IF(SOURCE!C:C=Sheet1!N60,MATCH(SOURCE!E:E,SOURCE!E:E,0))))</f>
        <v>ADL Enviro400 MMC</v>
      </c>
    </row>
    <row r="61" spans="10:15" thickTop="1" thickBot="1" x14ac:dyDescent="0.3">
      <c r="J61" s="17" t="str">
        <v>266</v>
      </c>
      <c r="K61" s="5">
        <f>COUNTIF(SOURCE!C:C,Sheet1!J61)</f>
        <v>22</v>
      </c>
      <c r="N61" s="3" t="str">
        <v>500</v>
      </c>
      <c r="O61" s="5" t="str" cm="1">
        <f t="array" ref="O61">INDEX(SOURCE!E:E,MODE(IF(SOURCE!C:C=Sheet1!N61,MATCH(SOURCE!E:E,SOURCE!E:E,0))))</f>
        <v>ADL Enviro400 City</v>
      </c>
    </row>
    <row r="62" spans="10:15" thickTop="1" thickBot="1" x14ac:dyDescent="0.3">
      <c r="J62" s="17" t="str">
        <v>267</v>
      </c>
      <c r="K62" s="5">
        <f>COUNTIF(SOURCE!C:C,Sheet1!J62)</f>
        <v>12</v>
      </c>
      <c r="N62" s="3" t="str">
        <v>77</v>
      </c>
      <c r="O62" s="5" t="str" cm="1">
        <f t="array" ref="O62">INDEX(SOURCE!E:E,MODE(IF(SOURCE!C:C=Sheet1!N62,MATCH(SOURCE!E:E,SOURCE!E:E,0))))</f>
        <v>ADL Enviro400 MMC</v>
      </c>
    </row>
    <row r="63" spans="10:15" thickTop="1" thickBot="1" x14ac:dyDescent="0.3">
      <c r="J63" s="17" t="str">
        <v>500</v>
      </c>
      <c r="K63" s="5">
        <f>COUNTIF(SOURCE!C:C,Sheet1!J63)</f>
        <v>10</v>
      </c>
      <c r="N63" s="3" t="str">
        <v>7A</v>
      </c>
      <c r="O63" s="5" t="str" cm="1">
        <f t="array" ref="O63">INDEX(SOURCE!E:E,MODE(IF(SOURCE!C:C=Sheet1!N63,MATCH(SOURCE!E:E,SOURCE!E:E,0))))</f>
        <v>BYD ADL Enviro200EV</v>
      </c>
    </row>
    <row r="64" spans="10:15" thickTop="1" thickBot="1" x14ac:dyDescent="0.3">
      <c r="J64" s="17" t="str">
        <v>77</v>
      </c>
      <c r="K64" s="5">
        <f>COUNTIF(SOURCE!C:C,Sheet1!J64)</f>
        <v>8</v>
      </c>
      <c r="N64" s="3" t="str">
        <v>8</v>
      </c>
      <c r="O64" s="5" t="str" cm="1">
        <f t="array" ref="O64">INDEX(SOURCE!E:E,MODE(IF(SOURCE!C:C=Sheet1!N64,MATCH(SOURCE!E:E,SOURCE!E:E,0))))</f>
        <v>ADL/TransBus Enviro300</v>
      </c>
    </row>
    <row r="65" spans="10:15" thickTop="1" thickBot="1" x14ac:dyDescent="0.3">
      <c r="J65" s="17" t="str">
        <v>7A</v>
      </c>
      <c r="K65" s="5">
        <f>COUNTIF(SOURCE!C:C,Sheet1!J65)</f>
        <v>8</v>
      </c>
      <c r="N65" s="3" t="str">
        <v>81</v>
      </c>
      <c r="O65" s="5" t="str" cm="1">
        <f t="array" ref="O65">INDEX(SOURCE!E:E,MODE(IF(SOURCE!C:C=Sheet1!N65,MATCH(SOURCE!E:E,SOURCE!E:E,0))))</f>
        <v>Wright StreetLite DF</v>
      </c>
    </row>
    <row r="66" spans="10:15" thickTop="1" thickBot="1" x14ac:dyDescent="0.3">
      <c r="J66" s="17" t="str">
        <v>8</v>
      </c>
      <c r="K66" s="5">
        <f>COUNTIF(SOURCE!C:C,Sheet1!J66)</f>
        <v>9</v>
      </c>
      <c r="N66" s="3" t="str">
        <v>87</v>
      </c>
      <c r="O66" s="5" t="str" cm="1">
        <f t="array" ref="O66">INDEX(SOURCE!E:E,MODE(IF(SOURCE!C:C=Sheet1!N66,MATCH(SOURCE!E:E,SOURCE!E:E,0))))</f>
        <v>Volvo B9TL Wright Eclipse Gemini</v>
      </c>
    </row>
    <row r="67" spans="10:15" thickTop="1" thickBot="1" x14ac:dyDescent="0.3">
      <c r="J67" s="17" t="str">
        <v>81</v>
      </c>
      <c r="K67" s="5">
        <f>COUNTIF(SOURCE!C:C,Sheet1!J67)</f>
        <v>3</v>
      </c>
      <c r="N67" s="3" t="str">
        <v>88</v>
      </c>
      <c r="O67" s="5" t="str" cm="1">
        <f t="array" ref="O67">INDEX(SOURCE!E:E,MODE(IF(SOURCE!C:C=Sheet1!N67,MATCH(SOURCE!E:E,SOURCE!E:E,0))))</f>
        <v>ADL Enviro400 MMC</v>
      </c>
    </row>
    <row r="68" spans="10:15" thickTop="1" thickBot="1" x14ac:dyDescent="0.3">
      <c r="J68" s="17" t="str">
        <v>87</v>
      </c>
      <c r="K68" s="5">
        <f>COUNTIF(SOURCE!C:C,Sheet1!J68)</f>
        <v>4</v>
      </c>
      <c r="N68" s="3" t="str">
        <v>88C</v>
      </c>
      <c r="O68" s="5" t="e" cm="1">
        <f t="array" ref="O68">INDEX(SOURCE!E:E,MODE(IF(SOURCE!C:C=Sheet1!N68,MATCH(SOURCE!E:E,SOURCE!E:E,0))))</f>
        <v>#N/A</v>
      </c>
    </row>
    <row r="69" spans="10:15" thickTop="1" thickBot="1" x14ac:dyDescent="0.3">
      <c r="J69" s="17" t="str">
        <v>88</v>
      </c>
      <c r="K69" s="5">
        <f>COUNTIF(SOURCE!C:C,Sheet1!J69)</f>
        <v>7</v>
      </c>
      <c r="N69" s="3" t="str">
        <v>89</v>
      </c>
      <c r="O69" s="5" t="str" cm="1">
        <f t="array" ref="O69">INDEX(SOURCE!E:E,MODE(IF(SOURCE!C:C=Sheet1!N69,MATCH(SOURCE!E:E,SOURCE!E:E,0))))</f>
        <v>ADL Enviro400 MMC</v>
      </c>
    </row>
    <row r="70" spans="10:15" thickTop="1" thickBot="1" x14ac:dyDescent="0.3">
      <c r="J70" s="17" t="str">
        <v>88C</v>
      </c>
      <c r="K70" s="5">
        <f>COUNTIF(SOURCE!C:C,Sheet1!J70)</f>
        <v>1</v>
      </c>
      <c r="N70" s="3" t="str">
        <v>89B</v>
      </c>
      <c r="O70" s="5" t="e" cm="1">
        <f t="array" ref="O70">INDEX(SOURCE!E:E,MODE(IF(SOURCE!C:C=Sheet1!N70,MATCH(SOURCE!E:E,SOURCE!E:E,0))))</f>
        <v>#N/A</v>
      </c>
    </row>
    <row r="71" spans="10:15" thickTop="1" thickBot="1" x14ac:dyDescent="0.3">
      <c r="J71" s="17" t="str">
        <v>89</v>
      </c>
      <c r="K71" s="5">
        <f>COUNTIF(SOURCE!C:C,Sheet1!J71)</f>
        <v>3</v>
      </c>
      <c r="N71" s="3" t="str">
        <v>9</v>
      </c>
      <c r="O71" s="5" t="str" cm="1">
        <f t="array" ref="O71">INDEX(SOURCE!E:E,MODE(IF(SOURCE!C:C=Sheet1!N71,MATCH(SOURCE!E:E,SOURCE!E:E,0))))</f>
        <v>BYD ADL Enviro200EV</v>
      </c>
    </row>
    <row r="72" spans="10:15" thickTop="1" thickBot="1" x14ac:dyDescent="0.3">
      <c r="J72" s="17" t="str">
        <v>89B</v>
      </c>
      <c r="K72" s="5">
        <f>COUNTIF(SOURCE!C:C,Sheet1!J72)</f>
        <v>1</v>
      </c>
      <c r="N72" s="3" t="str">
        <v>90</v>
      </c>
      <c r="O72" s="5" t="str" cm="1">
        <f t="array" ref="O72">INDEX(SOURCE!E:E,MODE(IF(SOURCE!C:C=Sheet1!N72,MATCH(SOURCE!E:E,SOURCE!E:E,0))))</f>
        <v>ADL/TransBus Enviro300</v>
      </c>
    </row>
    <row r="73" spans="10:15" thickTop="1" thickBot="1" x14ac:dyDescent="0.3">
      <c r="J73" s="17" t="str">
        <v>9</v>
      </c>
      <c r="K73" s="5">
        <f>COUNTIF(SOURCE!C:C,Sheet1!J73)</f>
        <v>9</v>
      </c>
      <c r="N73" s="3" t="str">
        <v>93</v>
      </c>
      <c r="O73" s="5" t="e" cm="1">
        <f t="array" ref="O73">INDEX(SOURCE!E:E,MODE(IF(SOURCE!C:C=Sheet1!N73,MATCH(SOURCE!E:E,SOURCE!E:E,0))))</f>
        <v>#N/A</v>
      </c>
    </row>
    <row r="74" spans="10:15" thickTop="1" thickBot="1" x14ac:dyDescent="0.3">
      <c r="J74" s="17" t="str">
        <v>90</v>
      </c>
      <c r="K74" s="5">
        <f>COUNTIF(SOURCE!C:C,Sheet1!J74)</f>
        <v>7</v>
      </c>
      <c r="N74" s="3" t="str">
        <v>94</v>
      </c>
      <c r="O74" s="5" t="e" cm="1">
        <f t="array" ref="O74">INDEX(SOURCE!E:E,MODE(IF(SOURCE!C:C=Sheet1!N74,MATCH(SOURCE!E:E,SOURCE!E:E,0))))</f>
        <v>#N/A</v>
      </c>
    </row>
    <row r="75" spans="10:15" thickTop="1" thickBot="1" x14ac:dyDescent="0.3">
      <c r="J75" s="17" t="str">
        <v>93</v>
      </c>
      <c r="K75" s="5">
        <f>COUNTIF(SOURCE!C:C,Sheet1!J75)</f>
        <v>1</v>
      </c>
      <c r="N75" s="3" t="str">
        <v>9A</v>
      </c>
      <c r="O75" s="5" t="str" cm="1">
        <f t="array" ref="O75">INDEX(SOURCE!E:E,MODE(IF(SOURCE!C:C=Sheet1!N75,MATCH(SOURCE!E:E,SOURCE!E:E,0))))</f>
        <v>BYD ADL Enviro200EV</v>
      </c>
    </row>
    <row r="76" spans="10:15" thickTop="1" thickBot="1" x14ac:dyDescent="0.3">
      <c r="J76" s="17" t="str">
        <v>94</v>
      </c>
      <c r="K76" s="5">
        <f>COUNTIF(SOURCE!C:C,Sheet1!J76)</f>
        <v>1</v>
      </c>
      <c r="N76" s="3" t="str">
        <v>Last tracked</v>
      </c>
      <c r="O76" s="5" t="e" cm="1">
        <f t="array" ref="O76">INDEX(SOURCE!E:E,MODE(IF(SOURCE!C:C=Sheet1!N76,MATCH(SOURCE!E:E,SOURCE!E:E,0))))</f>
        <v>#N/A</v>
      </c>
    </row>
    <row r="77" spans="10:15" thickTop="1" thickBot="1" x14ac:dyDescent="0.3">
      <c r="J77" s="17" t="str">
        <v>9A</v>
      </c>
      <c r="K77" s="5">
        <f>COUNTIF(SOURCE!C:C,Sheet1!J77)</f>
        <v>11</v>
      </c>
      <c r="N77" s="3" t="str">
        <v>M11</v>
      </c>
      <c r="O77" s="5" t="e" cm="1">
        <f t="array" ref="O77">INDEX(SOURCE!E:E,MODE(IF(SOURCE!C:C=Sheet1!N77,MATCH(SOURCE!E:E,SOURCE!E:E,0))))</f>
        <v>#N/A</v>
      </c>
    </row>
    <row r="78" spans="10:15" thickTop="1" thickBot="1" x14ac:dyDescent="0.3">
      <c r="J78" s="17" t="str">
        <v>Last tracked</v>
      </c>
      <c r="K78" s="5">
        <f>COUNTIF(SOURCE!C:C,Sheet1!J78)</f>
        <v>1</v>
      </c>
      <c r="N78" s="3" t="str">
        <v>M3</v>
      </c>
      <c r="O78" s="5" t="str" cm="1">
        <f t="array" ref="O78">INDEX(SOURCE!E:E,MODE(IF(SOURCE!C:C=Sheet1!N78,MATCH(SOURCE!E:E,SOURCE!E:E,0))))</f>
        <v>BYD ADL Enviro200EV</v>
      </c>
    </row>
    <row r="79" spans="10:15" thickTop="1" thickBot="1" x14ac:dyDescent="0.3">
      <c r="J79" s="17" t="str">
        <v>M11</v>
      </c>
      <c r="K79" s="5">
        <f>COUNTIF(SOURCE!C:C,Sheet1!J79)</f>
        <v>2</v>
      </c>
      <c r="N79" s="3" t="str">
        <v>M4</v>
      </c>
      <c r="O79" s="5" t="e" cm="1">
        <f t="array" ref="O79">INDEX(SOURCE!E:E,MODE(IF(SOURCE!C:C=Sheet1!N79,MATCH(SOURCE!E:E,SOURCE!E:E,0))))</f>
        <v>#N/A</v>
      </c>
    </row>
    <row r="80" spans="10:15" thickTop="1" thickBot="1" x14ac:dyDescent="0.3">
      <c r="J80" s="17" t="str">
        <v>M3</v>
      </c>
      <c r="K80" s="5">
        <f>COUNTIF(SOURCE!C:C,Sheet1!J80)</f>
        <v>2</v>
      </c>
      <c r="N80" s="3" t="str">
        <v>M60</v>
      </c>
      <c r="O80" s="5" t="str" cm="1">
        <f t="array" ref="O80">INDEX(SOURCE!E:E,MODE(IF(SOURCE!C:C=Sheet1!N80,MATCH(SOURCE!E:E,SOURCE!E:E,0))))</f>
        <v>Wright StreetLite DF</v>
      </c>
    </row>
    <row r="81" spans="10:15" thickTop="1" thickBot="1" x14ac:dyDescent="0.3">
      <c r="J81" s="17" t="str">
        <v>M4</v>
      </c>
      <c r="K81" s="5">
        <f>COUNTIF(SOURCE!C:C,Sheet1!J81)</f>
        <v>1</v>
      </c>
      <c r="N81" s="3" t="str">
        <v>N18</v>
      </c>
      <c r="O81" s="5" t="e" cm="1">
        <f t="array" ref="O81">INDEX(SOURCE!E:E,MODE(IF(SOURCE!C:C=Sheet1!N81,MATCH(SOURCE!E:E,SOURCE!E:E,0))))</f>
        <v>#N/A</v>
      </c>
    </row>
    <row r="82" spans="10:15" thickTop="1" thickBot="1" x14ac:dyDescent="0.3">
      <c r="J82" s="17" t="str">
        <v>M60</v>
      </c>
      <c r="K82" s="5">
        <f>COUNTIF(SOURCE!C:C,Sheet1!J82)</f>
        <v>6</v>
      </c>
      <c r="N82" s="3" t="str">
        <v>N2</v>
      </c>
      <c r="O82" s="5" t="e" cm="1">
        <f t="array" ref="O82">INDEX(SOURCE!E:E,MODE(IF(SOURCE!C:C=Sheet1!N82,MATCH(SOURCE!E:E,SOURCE!E:E,0))))</f>
        <v>#N/A</v>
      </c>
    </row>
    <row r="83" spans="10:15" thickTop="1" thickBot="1" x14ac:dyDescent="0.3">
      <c r="J83" s="17" t="str">
        <v>N18</v>
      </c>
      <c r="K83" s="5">
        <f>COUNTIF(SOURCE!C:C,Sheet1!J83)</f>
        <v>1</v>
      </c>
      <c r="N83" s="3" t="str">
        <v>N240</v>
      </c>
      <c r="O83" s="5" t="e" cm="1">
        <f t="array" ref="O83">INDEX(SOURCE!E:E,MODE(IF(SOURCE!C:C=Sheet1!N83,MATCH(SOURCE!E:E,SOURCE!E:E,0))))</f>
        <v>#N/A</v>
      </c>
    </row>
    <row r="84" spans="10:15" thickTop="1" thickBot="1" x14ac:dyDescent="0.3">
      <c r="J84" s="17" t="str">
        <v>N2</v>
      </c>
      <c r="K84" s="5">
        <f>COUNTIF(SOURCE!C:C,Sheet1!J84)</f>
        <v>2</v>
      </c>
      <c r="N84" s="3" t="str">
        <v>N267</v>
      </c>
      <c r="O84" s="5" t="e" cm="1">
        <f t="array" ref="O84">INDEX(SOURCE!E:E,MODE(IF(SOURCE!C:C=Sheet1!N84,MATCH(SOURCE!E:E,SOURCE!E:E,0))))</f>
        <v>#N/A</v>
      </c>
    </row>
    <row r="85" spans="10:15" thickTop="1" thickBot="1" x14ac:dyDescent="0.3">
      <c r="J85" s="17" t="str">
        <v>N240</v>
      </c>
      <c r="K85" s="5">
        <f>COUNTIF(SOURCE!C:C,Sheet1!J85)</f>
        <v>1</v>
      </c>
      <c r="N85" s="3" t="str">
        <v>N6</v>
      </c>
      <c r="O85" s="5" t="str" cm="1">
        <f t="array" ref="O85">INDEX(SOURCE!E:E,MODE(IF(SOURCE!C:C=Sheet1!N85,MATCH(SOURCE!E:E,SOURCE!E:E,0))))</f>
        <v>ADL Enviro400</v>
      </c>
    </row>
    <row r="86" spans="10:15" thickTop="1" thickBot="1" x14ac:dyDescent="0.3">
      <c r="J86" s="17" t="str">
        <v>N267</v>
      </c>
      <c r="K86" s="5">
        <f>COUNTIF(SOURCE!C:C,Sheet1!J86)</f>
        <v>1</v>
      </c>
      <c r="N86" s="3" t="str">
        <v>X11</v>
      </c>
      <c r="O86" s="5" t="str" cm="1">
        <f t="array" ref="O86">INDEX(SOURCE!E:E,MODE(IF(SOURCE!C:C=Sheet1!N86,MATCH(SOURCE!E:E,SOURCE!E:E,0))))</f>
        <v>ADL Enviro400 MMC</v>
      </c>
    </row>
    <row r="87" spans="10:15" thickTop="1" thickBot="1" x14ac:dyDescent="0.3">
      <c r="J87" s="17" t="str">
        <v>N6</v>
      </c>
      <c r="K87" s="5">
        <f>COUNTIF(SOURCE!C:C,Sheet1!J87)</f>
        <v>3</v>
      </c>
      <c r="N87" s="3" t="str">
        <v>X3</v>
      </c>
      <c r="O87" s="5" t="str" cm="1">
        <f t="array" ref="O87">INDEX(SOURCE!E:E,MODE(IF(SOURCE!C:C=Sheet1!N87,MATCH(SOURCE!E:E,SOURCE!E:E,0))))</f>
        <v>ADL Enviro400 MMC</v>
      </c>
    </row>
    <row r="88" spans="10:15" thickTop="1" thickBot="1" x14ac:dyDescent="0.3">
      <c r="J88" s="17" t="str">
        <v>X11</v>
      </c>
      <c r="K88" s="5">
        <f>COUNTIF(SOURCE!C:C,Sheet1!J88)</f>
        <v>3</v>
      </c>
      <c r="N88" s="3" t="str">
        <v>X4</v>
      </c>
      <c r="O88" s="5" t="str" cm="1">
        <f t="array" ref="O88">INDEX(SOURCE!E:E,MODE(IF(SOURCE!C:C=Sheet1!N88,MATCH(SOURCE!E:E,SOURCE!E:E,0))))</f>
        <v>ADL/TransBus Enviro300</v>
      </c>
    </row>
    <row r="89" spans="10:15" thickTop="1" thickBot="1" x14ac:dyDescent="0.3">
      <c r="J89" s="17" t="str">
        <v>X3</v>
      </c>
      <c r="K89" s="5">
        <f>COUNTIF(SOURCE!C:C,Sheet1!J89)</f>
        <v>4</v>
      </c>
      <c r="N89" s="3" t="str">
        <v>X85</v>
      </c>
      <c r="O89" s="5" t="str" cm="1">
        <f t="array" ref="O89">INDEX(SOURCE!E:E,MODE(IF(SOURCE!C:C=Sheet1!N89,MATCH(SOURCE!E:E,SOURCE!E:E,0))))</f>
        <v>ADL Enviro400 MMC</v>
      </c>
    </row>
    <row r="90" spans="10:15" thickTop="1" thickBot="1" x14ac:dyDescent="0.3">
      <c r="J90" s="17" t="str">
        <v>X4</v>
      </c>
      <c r="K90" s="5">
        <f>COUNTIF(SOURCE!C:C,Sheet1!J90)</f>
        <v>4</v>
      </c>
      <c r="N90" s="3" t="str">
        <v>X87</v>
      </c>
      <c r="O90" s="5" t="str" cm="1">
        <f t="array" ref="O90">INDEX(SOURCE!E:E,MODE(IF(SOURCE!C:C=Sheet1!N90,MATCH(SOURCE!E:E,SOURCE!E:E,0))))</f>
        <v>ADL Enviro400 MMC</v>
      </c>
    </row>
    <row r="91" spans="10:15" thickTop="1" thickBot="1" x14ac:dyDescent="0.3">
      <c r="J91" s="17" t="str">
        <v>X85</v>
      </c>
      <c r="K91" s="5">
        <f>COUNTIF(SOURCE!C:C,Sheet1!J91)</f>
        <v>3</v>
      </c>
      <c r="N91" s="3" t="str">
        <v>0</v>
      </c>
      <c r="O91" s="5" t="e" cm="1">
        <f t="array" ref="O91">INDEX(SOURCE!E:E,MODE(IF(SOURCE!C:C=Sheet1!N91,MATCH(SOURCE!E:E,SOURCE!E:E,0))))</f>
        <v>#N/A</v>
      </c>
    </row>
    <row r="92" spans="10:15" thickTop="1" thickBot="1" x14ac:dyDescent="0.3">
      <c r="J92" s="17" t="str">
        <v>X87</v>
      </c>
      <c r="K92" s="5">
        <f>COUNTIF(SOURCE!C:C,Sheet1!J92)</f>
        <v>3</v>
      </c>
      <c r="O92" s="5" t="e" cm="1">
        <f t="array" ref="O92">INDEX(SOURCE!E:E,MODE(IF(SOURCE!C:C=Sheet1!N92,MATCH(SOURCE!E:E,SOURCE!E:E,0))))</f>
        <v>#N/A</v>
      </c>
    </row>
    <row r="93" spans="10:15" thickTop="1" thickBot="1" x14ac:dyDescent="0.3">
      <c r="J93" s="17" t="str">
        <v>0</v>
      </c>
      <c r="K93" s="5">
        <f>COUNTIF(SOURCE!C:C,Sheet1!J93)</f>
        <v>0</v>
      </c>
    </row>
    <row r="94" spans="10:15" thickTop="1" thickBot="1" x14ac:dyDescent="0.3">
      <c r="K94" s="5">
        <f>COUNTIF(SOURCE!C:C,Sheet1!J94)</f>
        <v>0</v>
      </c>
    </row>
  </sheetData>
  <sheetProtection sheet="1" objects="1" scenarios="1" selectLockedCells="1" selectUnlockedCells="1"/>
  <mergeCells count="19">
    <mergeCell ref="N1:P2"/>
    <mergeCell ref="K1:L2"/>
    <mergeCell ref="A7:B7"/>
    <mergeCell ref="N3:O3"/>
    <mergeCell ref="D5:E5"/>
    <mergeCell ref="G5:H5"/>
    <mergeCell ref="J5:K5"/>
    <mergeCell ref="D3:E3"/>
    <mergeCell ref="G3:H3"/>
    <mergeCell ref="J3:K3"/>
    <mergeCell ref="A8:B8"/>
    <mergeCell ref="D1:D2"/>
    <mergeCell ref="E1:E2"/>
    <mergeCell ref="G1:G2"/>
    <mergeCell ref="H1:H2"/>
    <mergeCell ref="J1:J2"/>
    <mergeCell ref="J4:K4"/>
    <mergeCell ref="D4:E4"/>
    <mergeCell ref="G4:H4"/>
  </mergeCells>
  <conditionalFormatting sqref="E6:E1048576 E1 D3:D5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:H1048576 H1">
    <cfRule type="iconSet" priority="1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6:K1048576 K1">
    <cfRule type="iconSet" priority="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4:G5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4:J5">
    <cfRule type="iconSet" priority="6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">
    <cfRule type="iconSet" priority="3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3"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N3"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myRefresh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0C4A51-5515-47BF-AC55-26F3321F50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0 Refresh Time</vt:lpstr>
      <vt:lpstr>SOURCE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Gale</dc:creator>
  <cp:lastModifiedBy>Gale</cp:lastModifiedBy>
  <dcterms:created xsi:type="dcterms:W3CDTF">2022-08-28T11:20:17Z</dcterms:created>
  <dcterms:modified xsi:type="dcterms:W3CDTF">2022-09-04T08:18:15Z</dcterms:modified>
</cp:coreProperties>
</file>